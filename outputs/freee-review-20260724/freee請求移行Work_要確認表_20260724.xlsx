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rbato-my.sharepoint.com/personal/shu_kawanami_z616_dirbato_co_jp/Documents/ドキュメント/Samurai/samurai/outputs/freee-review-20260724/"/>
    </mc:Choice>
  </mc:AlternateContent>
  <xr:revisionPtr revIDLastSave="13" documentId="8_{5F3119E9-8410-497D-B1E9-55F370615F33}" xr6:coauthVersionLast="47" xr6:coauthVersionMax="47" xr10:uidLastSave="{34EBC65E-D058-4FAA-A3F1-3247A1E54247}"/>
  <bookViews>
    <workbookView xWindow="-120" yWindow="-120" windowWidth="29040" windowHeight="17520" activeTab="2" xr2:uid="{955767C8-7558-4401-9DCD-7AAC7B61C72F}"/>
  </bookViews>
  <sheets>
    <sheet name="対応履歴" sheetId="4" r:id="rId1"/>
    <sheet name="共通質問" sheetId="3" r:id="rId2"/>
    <sheet name="レコード別確認" sheetId="2" r:id="rId3"/>
    <sheet name="サマリー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B13" i="1"/>
  <c r="B12" i="1"/>
  <c r="B11" i="1"/>
  <c r="B10" i="1"/>
  <c r="B9" i="1"/>
  <c r="B8" i="1"/>
  <c r="B7" i="1"/>
  <c r="B6" i="1"/>
  <c r="E3" i="1"/>
  <c r="B3" i="1"/>
  <c r="H3" i="1" s="1"/>
</calcChain>
</file>

<file path=xl/sharedStrings.xml><?xml version="1.0" encoding="utf-8"?>
<sst xmlns="http://schemas.openxmlformats.org/spreadsheetml/2006/main" count="2172" uniqueCount="574">
  <si>
    <t>Freee請求移行Work 要確認表</t>
  </si>
  <si>
    <t>prod / 2026-07-24時点　経理確認・対応管理用</t>
  </si>
  <si>
    <t>対象件数</t>
  </si>
  <si>
    <t>未確認件数</t>
  </si>
  <si>
    <t>対応完了率</t>
  </si>
  <si>
    <t>主原因</t>
  </si>
  <si>
    <t>件数</t>
  </si>
  <si>
    <t>契約・契約期間未確定</t>
  </si>
  <si>
    <t>商品未確定</t>
  </si>
  <si>
    <t>契約・商品未確定</t>
  </si>
  <si>
    <t>商品名の類似性不足</t>
  </si>
  <si>
    <t>既存請求明細との照合不一致</t>
  </si>
  <si>
    <t>金額不一致</t>
  </si>
  <si>
    <t>契約・商品・金額不一致</t>
  </si>
  <si>
    <t>商品・金額不一致</t>
  </si>
  <si>
    <t>対応状況</t>
  </si>
  <si>
    <t>説明</t>
  </si>
  <si>
    <t>未確認</t>
  </si>
  <si>
    <t>経理による確認前</t>
  </si>
  <si>
    <t>確認中</t>
  </si>
  <si>
    <t>内容を確認中</t>
  </si>
  <si>
    <t>対応待ち</t>
  </si>
  <si>
    <t>マスタ・契約等の設定待ち</t>
  </si>
  <si>
    <t>対応済み</t>
  </si>
  <si>
    <t>再検証・本反映まで完了</t>
  </si>
  <si>
    <t>対象外</t>
  </si>
  <si>
    <t>対応不要と判断</t>
  </si>
  <si>
    <t>今回の反映: 年払い9明細を、請求タイミングが「年一括」の商品マスタへ確定。完全一致の商品マッピング9件も登録。年払い割引等の別課題が残るため要確認は180件。</t>
  </si>
  <si>
    <t>No</t>
  </si>
  <si>
    <t>優先度</t>
  </si>
  <si>
    <t>Work名</t>
  </si>
  <si>
    <t>Salesforce URL</t>
  </si>
  <si>
    <t>Freee請求書ID</t>
  </si>
  <si>
    <t>取引先</t>
  </si>
  <si>
    <t>請求日</t>
  </si>
  <si>
    <t>請求金額</t>
  </si>
  <si>
    <t>契約管理</t>
  </si>
  <si>
    <t>契約期間</t>
  </si>
  <si>
    <t>作成済み請求</t>
  </si>
  <si>
    <t>確認コード</t>
  </si>
  <si>
    <t>個別確認対象</t>
  </si>
  <si>
    <t>自動反映可否</t>
  </si>
  <si>
    <t>主担当</t>
  </si>
  <si>
    <t>確認結果</t>
  </si>
  <si>
    <t>対応者</t>
  </si>
  <si>
    <t>確認日</t>
  </si>
  <si>
    <t>備考</t>
  </si>
  <si>
    <t>高</t>
  </si>
  <si>
    <t>MFIW-000022</t>
  </si>
  <si>
    <t>株式会社スタッコ</t>
  </si>
  <si>
    <t>CP-00000183</t>
  </si>
  <si>
    <t>INV-0000000012</t>
  </si>
  <si>
    <t>I01</t>
  </si>
  <si>
    <t>明細照合: Salesforce請求「INV-0000000012」 / Freee請求書ID 53825605</t>
  </si>
  <si>
    <t>不可（個別確認が必要）</t>
  </si>
  <si>
    <t>経理</t>
  </si>
  <si>
    <t>未入力</t>
  </si>
  <si>
    <t>Salesforceで開く</t>
  </si>
  <si>
    <t>MFIW-000044</t>
  </si>
  <si>
    <t>戸田建設株式会社</t>
  </si>
  <si>
    <t>CP-00000024</t>
  </si>
  <si>
    <t>INV-0000000033</t>
  </si>
  <si>
    <t>P03</t>
  </si>
  <si>
    <t>商品誤紐づけ確認: 「VISIOAL＿ベーシックプラン」 -&gt; 「[月払] knock knock AI Enterpriseプラン 500クレジット」 || 商品誤紐づけ確認: 「既存写真との整合（敷地）」 -&gt; 「Rendery セキュリティオプション(SSO)_運用費用」 || 商品誤紐づけ確認: 「詳細整合（インテリア）」 -&gt; 「Rendery セキュリティオプション(IP制限)_運用費用」 || 商品誤紐づけ確認: 「確認タイミング追加」 -&gt; 「Rendery セキュリティオプション(SSO)_運用費用」 || 商品誤紐づけ確認: 「追加修正」 -&gt; 「Rendery セキュリティオプション(SSO)_運用費用」</t>
  </si>
  <si>
    <t>中</t>
  </si>
  <si>
    <t>MFIW-000271</t>
  </si>
  <si>
    <t>西和不動産株式会社 栗東店</t>
  </si>
  <si>
    <t>C01</t>
  </si>
  <si>
    <t>請求区分と契約先: 西和不動産株式会社 栗東店 / 請求日: 2026-03-20</t>
  </si>
  <si>
    <t>契約ルール登録後に可</t>
  </si>
  <si>
    <t>MFIW-000273</t>
  </si>
  <si>
    <t>株式会社博進コスモプラザ</t>
  </si>
  <si>
    <t>CP-00000134</t>
  </si>
  <si>
    <t>P01</t>
  </si>
  <si>
    <t>商品候補確認: 「knock knock AI_Basicプラン」 -&gt; 「knock knock AI Basicプラン(50クレジット)」</t>
  </si>
  <si>
    <t>条件付き可（候補商品が一意であることを確認）</t>
  </si>
  <si>
    <t>MFIW-000275</t>
  </si>
  <si>
    <t>株式会社ヨコハマ地所</t>
  </si>
  <si>
    <t>C01,P01</t>
  </si>
  <si>
    <t>請求区分と契約先: 株式会社ヨコハマ地所 / 請求日: 2026-03-20 || 商品候補確認: 「knock knock AI_Basicプラン」 -&gt; 「knock knock AI Basicプラン(50クレジット)」</t>
  </si>
  <si>
    <t>MFIW-000276</t>
  </si>
  <si>
    <t>株式会社シアーズホーム</t>
  </si>
  <si>
    <t>請求区分と契約先: 株式会社シアーズホーム / 請求日: 2026-03-20 || 商品候補確認: 「knock knock AI Basicプラン(月額)」 -&gt; 「knock knock AI Basicプラン(50クレジット)」</t>
  </si>
  <si>
    <t>MFIW-000277</t>
  </si>
  <si>
    <t>リアルティホールディングス株式会社</t>
  </si>
  <si>
    <t>CP-00000126</t>
  </si>
  <si>
    <t>P02</t>
  </si>
  <si>
    <t>商品選択: 「knock knock AI_Enterpriseプラン_1100クレジット」</t>
  </si>
  <si>
    <t>商品確定後に可</t>
  </si>
  <si>
    <t>MFIW-000279</t>
  </si>
  <si>
    <t>株式会社イーグランド</t>
  </si>
  <si>
    <t>CP-00000120</t>
  </si>
  <si>
    <t>MFIW-000280</t>
  </si>
  <si>
    <t>アグレ都市デザイン株式会社</t>
  </si>
  <si>
    <t>請求区分と契約先: アグレ都市デザイン株式会社 / 請求日: 2026-03-20 || 商品候補確認: 「knock knock AI_Basicプラン」 -&gt; 「knock knock AI Basicプラン(50クレジット)」</t>
  </si>
  <si>
    <t>MFIW-000281</t>
  </si>
  <si>
    <t>株式会社ハウスプラザ</t>
  </si>
  <si>
    <t>CP-00000118</t>
  </si>
  <si>
    <t>MFIW-000282</t>
  </si>
  <si>
    <t>株式会社JR東日本建築設計</t>
  </si>
  <si>
    <t>請求区分と契約先: 株式会社JR東日本建築設計 / 請求日: 2026-03-20</t>
  </si>
  <si>
    <t>MFIW-000283</t>
  </si>
  <si>
    <t>アイリスオーヤマ株式会社(空間デザイン部)</t>
  </si>
  <si>
    <t>請求区分と契約先: アイリスオーヤマ株式会社(空間デザイン部) / 請求日: 2026-03-20</t>
  </si>
  <si>
    <t>MFIW-000284</t>
  </si>
  <si>
    <t>アイリスオーヤマ株式会社(ストアソリューション営業部ストアデザインチーム)</t>
  </si>
  <si>
    <t>請求区分と契約先: アイリスオーヤマ株式会社(ストアソリューション営業部ストアデザインチーム) / 請求日: 2026-03-20</t>
  </si>
  <si>
    <t>MFIW-000285</t>
  </si>
  <si>
    <t>九州旅客鉄道株式会社(博多設備区)</t>
  </si>
  <si>
    <t>請求区分と契約先: 九州旅客鉄道株式会社(博多設備区) / 請求日: 2026-03-20</t>
  </si>
  <si>
    <t>MFIW-000286</t>
  </si>
  <si>
    <t>株式会社ジョイフル本田</t>
  </si>
  <si>
    <t>請求区分と契約先: 株式会社ジョイフル本田 / 請求日: 2026-03-20</t>
  </si>
  <si>
    <t>MFIW-000291</t>
  </si>
  <si>
    <t>柏井建設株式会社</t>
  </si>
  <si>
    <t>請求区分と契約先: 柏井建設株式会社 / 請求日: 2026-03-20</t>
  </si>
  <si>
    <t>MFIW-000292</t>
  </si>
  <si>
    <t>株式会社トーケン</t>
  </si>
  <si>
    <t>C01,P02</t>
  </si>
  <si>
    <t>請求区分と契約先: 株式会社トーケン / 請求日: 2026-03-20 || 商品選択: 「Rendery_Pro_10アカウント_年間一括払い」</t>
  </si>
  <si>
    <t>MFIW-000354</t>
  </si>
  <si>
    <t>九州旅客鉄道株式会社(建設工事部施設課)</t>
  </si>
  <si>
    <t>請求区分と契約先: 九州旅客鉄道株式会社(建設工事部施設課) / 請求日: 2026-03-20</t>
  </si>
  <si>
    <t>MFIW-000356</t>
  </si>
  <si>
    <t>インフィニティ株式会社</t>
  </si>
  <si>
    <t>請求区分と契約先: インフィニティ株式会社 / 請求日: 2026-03-20</t>
  </si>
  <si>
    <t>MFIW-000357</t>
  </si>
  <si>
    <t>東急リゾーツ＆ステイ株式会社</t>
  </si>
  <si>
    <t>請求区分と契約先: 東急リゾーツ＆ステイ株式会社 / 請求日: 2026-03-20 || 商品候補確認: 「Rendery　エンタープライズプラン」 -&gt; 「[OLD] Rendery Enterpriseプラン(2025年9月まで)」</t>
  </si>
  <si>
    <t>MFIW-000359</t>
  </si>
  <si>
    <t>株式会社前田工務店</t>
  </si>
  <si>
    <t>CP-00000007</t>
  </si>
  <si>
    <t>商品候補確認: 「Rendery(エンタープライズプラン：1ヶ月)」 -&gt; 「[OLD] Rendery Enterpriseプラン(2025年9月まで)」</t>
  </si>
  <si>
    <t>MFIW-000362</t>
  </si>
  <si>
    <t>株式会社エージェント</t>
  </si>
  <si>
    <t>CP-00000132</t>
  </si>
  <si>
    <t>商品候補確認: 「knock knock AI Basicプラン(月額)」 -&gt; 「knock knock AI Basicプラン(50クレジット)」</t>
  </si>
  <si>
    <t>MFIW-000365</t>
  </si>
  <si>
    <t>九州旅客鉄道株式会社(開発工事部)</t>
  </si>
  <si>
    <t>請求区分と契約先: 九州旅客鉄道株式会社(開発工事部) / 請求日: 2026-03-20</t>
  </si>
  <si>
    <t>MFIW-000367</t>
  </si>
  <si>
    <t>株式会社ＬＩＸＩＬ住宅研究所</t>
  </si>
  <si>
    <t>請求区分と契約先: 株式会社ＬＩＸＩＬ住宅研究所 / 請求日: 2026-03-20</t>
  </si>
  <si>
    <t>MFIW-000368</t>
  </si>
  <si>
    <t>株式会社アークフロンティア　テラスエステート</t>
  </si>
  <si>
    <t>請求区分と契約先: 株式会社アークフロンティア　テラスエステート / 請求日: 2026-03-20 || 商品選択: 「knock knock AI_Enterpriseプラン(月額)」</t>
  </si>
  <si>
    <t>MFIW-000370</t>
  </si>
  <si>
    <t>アイリスチトセ株式会社</t>
  </si>
  <si>
    <t>請求区分と契約先: アイリスチトセ株式会社 / 請求日: 2026-03-20</t>
  </si>
  <si>
    <t>MFIW-000371</t>
  </si>
  <si>
    <t>三菱地所株式会社(DX推進部)</t>
  </si>
  <si>
    <t>請求区分と契約先: 三菱地所株式会社(DX推進部) / 請求日: 2026-03-20</t>
  </si>
  <si>
    <t>MFIW-000056</t>
  </si>
  <si>
    <t>CP-00000054</t>
  </si>
  <si>
    <t>INV-0000000043</t>
  </si>
  <si>
    <t>明細照合: Salesforce請求「INV-0000000043」 / Freee請求書ID 54891605</t>
  </si>
  <si>
    <t>MFIW-000293</t>
  </si>
  <si>
    <t>MFIW-000295</t>
  </si>
  <si>
    <t>請求区分と契約先: 株式会社ヨコハマ地所 / 請求日: 2026-04-20 || 商品候補確認: 「knock knock AI_Basicプラン」 -&gt; 「knock knock AI Basicプラン(50クレジット)」</t>
  </si>
  <si>
    <t>MFIW-000296</t>
  </si>
  <si>
    <t>商品選択: 「knock knock AI_Enterpriseプラン_1200クレジット」</t>
  </si>
  <si>
    <t>MFIW-000298</t>
  </si>
  <si>
    <t>MFIW-000299</t>
  </si>
  <si>
    <t>請求区分と契約先: アグレ都市デザイン株式会社 / 請求日: 2026-04-20 || 商品候補確認: 「knock knock AI_Basicプラン」 -&gt; 「knock knock AI Basicプラン(50クレジット)」</t>
  </si>
  <si>
    <t>MFIW-000300</t>
  </si>
  <si>
    <t>MFIW-000301</t>
  </si>
  <si>
    <t>請求区分と契約先: 株式会社JR東日本建築設計 / 請求日: 2026-04-20</t>
  </si>
  <si>
    <t>MFIW-000302</t>
  </si>
  <si>
    <t>請求区分と契約先: アイリスオーヤマ株式会社(空間デザイン部) / 請求日: 2026-04-20</t>
  </si>
  <si>
    <t>MFIW-000303</t>
  </si>
  <si>
    <t>請求区分と契約先: アイリスオーヤマ株式会社(ストアソリューション営業部ストアデザインチーム) / 請求日: 2026-04-20</t>
  </si>
  <si>
    <t>MFIW-000304</t>
  </si>
  <si>
    <t>請求区分と契約先: 九州旅客鉄道株式会社(博多設備区) / 請求日: 2026-04-20</t>
  </si>
  <si>
    <t>MFIW-000305</t>
  </si>
  <si>
    <t>請求区分と契約先: 株式会社ジョイフル本田 / 請求日: 2026-04-20</t>
  </si>
  <si>
    <t>MFIW-000311</t>
  </si>
  <si>
    <t>請求区分と契約先: 九州旅客鉄道株式会社(建設工事部施設課) / 請求日: 2026-04-20</t>
  </si>
  <si>
    <t>MFIW-000313</t>
  </si>
  <si>
    <t>請求区分と契約先: インフィニティ株式会社 / 請求日: 2026-04-20</t>
  </si>
  <si>
    <t>MFIW-000314</t>
  </si>
  <si>
    <t>請求区分と契約先: 東急リゾーツ＆ステイ株式会社 / 請求日: 2026-04-20 || 商品候補確認: 「Rendery　エンタープライズプラン」 -&gt; 「[OLD] Rendery Enterpriseプラン(2025年9月まで)」</t>
  </si>
  <si>
    <t>MFIW-000318</t>
  </si>
  <si>
    <t>MFIW-000321</t>
  </si>
  <si>
    <t>請求区分と契約先: 九州旅客鉄道株式会社(開発工事部) / 請求日: 2026-04-20</t>
  </si>
  <si>
    <t>MFIW-000323</t>
  </si>
  <si>
    <t>請求区分と契約先: 株式会社ＬＩＸＩＬ住宅研究所 / 請求日: 2026-04-20</t>
  </si>
  <si>
    <t>MFIW-000325</t>
  </si>
  <si>
    <t>福井コンピュータアーキテクト</t>
  </si>
  <si>
    <t>請求区分と契約先: 福井コンピュータアーキテクト / 請求日: 2026-04-20 || 商品選択: 「着手金として」</t>
  </si>
  <si>
    <t>MFIW-000327</t>
  </si>
  <si>
    <t>東急建設株式会社</t>
  </si>
  <si>
    <t>CP-00000005</t>
  </si>
  <si>
    <t>商品選択: 「Rendery_Pro(2026年4月- 2027年3月)」</t>
  </si>
  <si>
    <t>MFIW-000329</t>
  </si>
  <si>
    <t>株式会社大塚商会</t>
  </si>
  <si>
    <t>CP-00000061</t>
  </si>
  <si>
    <t>商品候補確認: 「Rendery_Pro_月額利用料_注文番号：405016881」 -&gt; 「[代理販売20%] Rendery Proプラン」</t>
  </si>
  <si>
    <t>MFIW-000330</t>
  </si>
  <si>
    <t>商品候補確認: 「Rendery_Pro_４月利用料(株式会社長谷建築設計事務所様)」 -&gt; 「[代理販売20%] Rendery Proプラン」</t>
  </si>
  <si>
    <t>MFIW-000331</t>
  </si>
  <si>
    <t>株式会社アーキテクト・ディベロッパー</t>
  </si>
  <si>
    <t>請求区分と契約先: 株式会社アーキテクト・ディベロッパー / 請求日: 2026-04-20</t>
  </si>
  <si>
    <t>MFIW-000332</t>
  </si>
  <si>
    <t>請求区分と契約先: 三菱地所株式会社(DX推進部) / 請求日: 2026-04-20</t>
  </si>
  <si>
    <t>MFIW-000334</t>
  </si>
  <si>
    <t>株式会社石勝エクステリア</t>
  </si>
  <si>
    <t>請求区分と契約先: 株式会社石勝エクステリア / 請求日: 2026-04-20 || 商品選択: 「年払い割引」 || 商品選択: 「セキュリティオプション_シングルサインオン_運用費用_年払い」</t>
  </si>
  <si>
    <t>MFIW-000335</t>
  </si>
  <si>
    <t>野村不動産株式会社</t>
  </si>
  <si>
    <t>請求区分と契約先: 野村不動産株式会社 / 請求日: 2026-04-20</t>
  </si>
  <si>
    <t>MFIW-000342</t>
  </si>
  <si>
    <t>近鉄不動産株式会社</t>
  </si>
  <si>
    <t>C01,P01,P02</t>
  </si>
  <si>
    <t>請求区分と契約先: 近鉄不動産株式会社 / 請求日: 2026-04-20 || 商品候補確認: 「[月額費用]Rendery Enterpriseプラン_11アカウント」 -&gt; 「Rendery Enterpriseプラン」 || 商品選択: 「[月額費用]セキュリティオプション+_運用費用」 || 商品選択: 「[初月のみ]セキュリティオプション+_初期コスト」</t>
  </si>
  <si>
    <t>MFIW-000345</t>
  </si>
  <si>
    <t>請求区分と契約先: アイリスチトセ株式会社 / 請求日: 2026-04-20</t>
  </si>
  <si>
    <t>MFIW-000346</t>
  </si>
  <si>
    <t>株式会社フジタ</t>
  </si>
  <si>
    <t>請求区分と契約先: 株式会社フジタ / 請求日: 2026-04-20 || 商品選択: 「年払い割引」</t>
  </si>
  <si>
    <t>MFIW-000349</t>
  </si>
  <si>
    <t>MFIW-000350</t>
  </si>
  <si>
    <t>MFIW-000351</t>
  </si>
  <si>
    <t>株式会社JBリアルエステート</t>
  </si>
  <si>
    <t>請求区分と契約先: 株式会社JBリアルエステート / 請求日: 2026-04-20</t>
  </si>
  <si>
    <t>MFIW-000087</t>
  </si>
  <si>
    <t>トヨタ・コニック・プロ株式会社</t>
  </si>
  <si>
    <t>CP-00000168</t>
  </si>
  <si>
    <t>INV-0000000074</t>
  </si>
  <si>
    <t>明細照合: Salesforce請求「INV-0000000074」 / Freee請求書ID 58268807</t>
  </si>
  <si>
    <t>MFIW-000090</t>
  </si>
  <si>
    <t>INV-0000000006</t>
  </si>
  <si>
    <t>明細照合: Salesforce請求「INV-0000000006」 / Freee請求書ID 58486360</t>
  </si>
  <si>
    <t>MFIW-000222</t>
  </si>
  <si>
    <t>松栄不動産株式会社(アパマンショップ仙台東口店)</t>
  </si>
  <si>
    <t>請求区分と契約先: 松栄不動産株式会社(アパマンショップ仙台東口店) / 請求日: 2026-05-20</t>
  </si>
  <si>
    <t>MFIW-000223</t>
  </si>
  <si>
    <t>ONETEAM不動産</t>
  </si>
  <si>
    <t>CP-00000146</t>
  </si>
  <si>
    <t>商品候補確認: 「KnockKnockAI_Basicプラン(月額)」 -&gt; 「knock knock AI Basicプラン(50クレジット)」</t>
  </si>
  <si>
    <t>MFIW-000224</t>
  </si>
  <si>
    <t>株式会社ハートランド</t>
  </si>
  <si>
    <t>請求区分と契約先: 株式会社ハートランド / 請求日: 2026-05-20</t>
  </si>
  <si>
    <t>MFIW-000225</t>
  </si>
  <si>
    <t>請求区分と契約先: 西和不動産株式会社 栗東店 / 請求日: 2026-05-20</t>
  </si>
  <si>
    <t>MFIW-000227</t>
  </si>
  <si>
    <t>MFIW-000229</t>
  </si>
  <si>
    <t>請求区分と契約先: 株式会社ヨコハマ地所 / 請求日: 2026-05-20 || 商品候補確認: 「knock knock AI_Basicプラン」 -&gt; 「knock knock AI Basicプラン(50クレジット)」</t>
  </si>
  <si>
    <t>MFIW-000230</t>
  </si>
  <si>
    <t>MFIW-000232</t>
  </si>
  <si>
    <t>MFIW-000233</t>
  </si>
  <si>
    <t>請求区分と契約先: アグレ都市デザイン株式会社 / 請求日: 2026-05-20 || 商品候補確認: 「knock knock AI_Basicプラン」 -&gt; 「knock knock AI Basicプラン(50クレジット)」</t>
  </si>
  <si>
    <t>MFIW-000234</t>
  </si>
  <si>
    <t>MFIW-000235</t>
  </si>
  <si>
    <t>請求区分と契約先: 株式会社JR東日本建築設計 / 請求日: 2026-05-20</t>
  </si>
  <si>
    <t>MFIW-000236</t>
  </si>
  <si>
    <t>請求区分と契約先: アイリスオーヤマ株式会社(空間デザイン部) / 請求日: 2026-05-20</t>
  </si>
  <si>
    <t>MFIW-000237</t>
  </si>
  <si>
    <t>請求区分と契約先: アイリスオーヤマ株式会社(ストアソリューション営業部ストアデザインチーム) / 請求日: 2026-05-20</t>
  </si>
  <si>
    <t>MFIW-000238</t>
  </si>
  <si>
    <t>請求区分と契約先: 九州旅客鉄道株式会社(博多設備区) / 請求日: 2026-05-20</t>
  </si>
  <si>
    <t>MFIW-000239</t>
  </si>
  <si>
    <t>請求区分と契約先: 株式会社ジョイフル本田 / 請求日: 2026-05-20</t>
  </si>
  <si>
    <t>MFIW-000245</t>
  </si>
  <si>
    <t>請求区分と契約先: 九州旅客鉄道株式会社(建設工事部施設課) / 請求日: 2026-05-20</t>
  </si>
  <si>
    <t>MFIW-000247</t>
  </si>
  <si>
    <t>請求区分と契約先: インフィニティ株式会社 / 請求日: 2026-05-20</t>
  </si>
  <si>
    <t>MFIW-000248</t>
  </si>
  <si>
    <t>請求区分と契約先: 東急リゾーツ＆ステイ株式会社 / 請求日: 2026-05-20 || 商品候補確認: 「Rendery　エンタープライズプラン」 -&gt; 「[OLD] Rendery Enterpriseプラン(2025年9月まで)」</t>
  </si>
  <si>
    <t>MFIW-000252</t>
  </si>
  <si>
    <t>MFIW-000255</t>
  </si>
  <si>
    <t>請求区分と契約先: 九州旅客鉄道株式会社(開発工事部) / 請求日: 2026-05-20</t>
  </si>
  <si>
    <t>MFIW-000257</t>
  </si>
  <si>
    <t>請求区分と契約先: 株式会社ＬＩＸＩＬ住宅研究所 / 請求日: 2026-05-20</t>
  </si>
  <si>
    <t>MFIW-000259</t>
  </si>
  <si>
    <t>商品候補確認: 「Rendery_Pro_月額利用料(ジェイアール北海道エンジニアリング株式会社分)」 -&gt; 「[代理販売20%] Rendery Proプラン」</t>
  </si>
  <si>
    <t>MFIW-000260</t>
  </si>
  <si>
    <t>商品候補確認: 「Rendery_Pro_月額利用料_注文番号：405342479」 -&gt; 「[代理販売20%] Rendery Proプラン」</t>
  </si>
  <si>
    <t>MFIW-000261</t>
  </si>
  <si>
    <t>請求区分と契約先: 株式会社アーキテクト・ディベロッパー / 請求日: 2026-05-20</t>
  </si>
  <si>
    <t>MFIW-000262</t>
  </si>
  <si>
    <t>請求区分と契約先: 三菱地所株式会社(DX推進部) / 請求日: 2026-05-20</t>
  </si>
  <si>
    <t>MFIW-000264</t>
  </si>
  <si>
    <t>日鉄興和不動産株式会社</t>
  </si>
  <si>
    <t>CP-00000076</t>
  </si>
  <si>
    <t>商品選択: 「年払い割引」</t>
  </si>
  <si>
    <t>MFIW-000265</t>
  </si>
  <si>
    <t>請求区分と契約先: 野村不動産株式会社 / 請求日: 2026-05-20</t>
  </si>
  <si>
    <t>MFIW-000267</t>
  </si>
  <si>
    <t>請求区分と契約先: 近鉄不動産株式会社 / 請求日: 2026-05-20 || 商品候補確認: 「[月額費用]Rendery Enterpriseプラン_11アカウント」 -&gt; 「Rendery Enterpriseプラン」 || 商品選択: 「[月額費用]セキュリティオプション+_運用費用」</t>
  </si>
  <si>
    <t>MFIW-000268</t>
  </si>
  <si>
    <t>若築建設株式会社</t>
  </si>
  <si>
    <t>CP-00000102</t>
  </si>
  <si>
    <t>商品選択: 「Rendery Proプラン1アカウント_年払い」</t>
  </si>
  <si>
    <t>MFIW-000114</t>
  </si>
  <si>
    <t>SFテスト</t>
  </si>
  <si>
    <t>請求区分と契約先: SFテスト / 請求日: 2026-05-21</t>
  </si>
  <si>
    <t>MFIW-000116</t>
  </si>
  <si>
    <t>クウジット株式会社</t>
  </si>
  <si>
    <t>CP-00000164</t>
  </si>
  <si>
    <t>INV-0000000100</t>
  </si>
  <si>
    <t>明細照合: Salesforce請求「INV-0000000100」 / Freee請求書ID 58940950</t>
  </si>
  <si>
    <t>MFIW-000125</t>
  </si>
  <si>
    <t>どさんこ不動産</t>
  </si>
  <si>
    <t>請求区分と契約先: どさんこ不動産 / 請求日: 2026-06-19</t>
  </si>
  <si>
    <t>MFIW-000126</t>
  </si>
  <si>
    <t>帝国不動産株式会社</t>
  </si>
  <si>
    <t>CP-00000196</t>
  </si>
  <si>
    <t>INV-0000000109</t>
  </si>
  <si>
    <t>A02</t>
  </si>
  <si>
    <t>金額差異: 請求金額 52,800 円 / 明細合計 96,000 円 / 差額 43,200 円</t>
  </si>
  <si>
    <t>MFIW-000127</t>
  </si>
  <si>
    <t>不動産A株式会社</t>
  </si>
  <si>
    <t>INV-0000000003</t>
  </si>
  <si>
    <t>請求区分と契約先: 不動産A株式会社 / 請求日: 2026-06-19</t>
  </si>
  <si>
    <t>MFIW-000158</t>
  </si>
  <si>
    <t>TC神鋼不動産株式会社</t>
  </si>
  <si>
    <t>CP-00000294</t>
  </si>
  <si>
    <t>INV-0000000133</t>
  </si>
  <si>
    <t>明細照合: Salesforce請求「INV-0000000133」 / Freee請求書ID 60861151</t>
  </si>
  <si>
    <t>MFIW-000164</t>
  </si>
  <si>
    <t>請求区分と契約先: 近鉄不動産株式会社 / 請求日: 2026-06-20</t>
  </si>
  <si>
    <t>MFIW-000166</t>
  </si>
  <si>
    <t>株式会社TAKUTO</t>
  </si>
  <si>
    <t>CP-00000149</t>
  </si>
  <si>
    <t>INV-0000000152</t>
  </si>
  <si>
    <t>明細照合: Salesforce請求「INV-0000000152」 / Freee請求書ID 60861149</t>
  </si>
  <si>
    <t>MFIW-000167</t>
  </si>
  <si>
    <t>INV-0000000153</t>
  </si>
  <si>
    <t>商品誤紐づけ確認: 「KnockKnockAI_Basicプラン(月額)」 -&gt; 「[OLD] Rendery Enterpriseプラン(2025年9月まで)」</t>
  </si>
  <si>
    <t>MFIW-000168</t>
  </si>
  <si>
    <t>請求区分と契約先: 株式会社ハートランド / 請求日: 2026-06-20</t>
  </si>
  <si>
    <t>MFIW-000169</t>
  </si>
  <si>
    <t>請求区分と契約先: 西和不動産株式会社 栗東店 / 請求日: 2026-06-20</t>
  </si>
  <si>
    <t>MFIW-000170</t>
  </si>
  <si>
    <t>株式会社香川不動産買取センター</t>
  </si>
  <si>
    <t>CP-00000136</t>
  </si>
  <si>
    <t>INV-0000000154</t>
  </si>
  <si>
    <t>明細照合: Salesforce請求「INV-0000000154」 / Freee請求書ID 60861156</t>
  </si>
  <si>
    <t>MFIW-000171</t>
  </si>
  <si>
    <t>INV-0000000155</t>
  </si>
  <si>
    <t>商品誤紐づけ確認: 「knock knock AI_Basicプラン」 -&gt; 「[OLD] Rendery Enterpriseプラン(2025年9月まで)」</t>
  </si>
  <si>
    <t>MFIW-000173</t>
  </si>
  <si>
    <t>請求区分と契約先: 株式会社ヨコハマ地所 / 請求日: 2026-06-20</t>
  </si>
  <si>
    <t>MFIW-000174</t>
  </si>
  <si>
    <t>MFIW-000175</t>
  </si>
  <si>
    <t>株式会社穂積住宅</t>
  </si>
  <si>
    <t>CP-00000124</t>
  </si>
  <si>
    <t>INV-0000000156</t>
  </si>
  <si>
    <t>明細照合: Salesforce請求「INV-0000000156」 / Freee請求書ID 60861162</t>
  </si>
  <si>
    <t>MFIW-000176</t>
  </si>
  <si>
    <t>INV-0000000157</t>
  </si>
  <si>
    <t>MFIW-000177</t>
  </si>
  <si>
    <t>INV-0000000158</t>
  </si>
  <si>
    <t>MFIW-000178</t>
  </si>
  <si>
    <t>請求区分と契約先: 株式会社JR東日本建築設計 / 請求日: 2026-06-20</t>
  </si>
  <si>
    <t>MFIW-000179</t>
  </si>
  <si>
    <t>請求区分と契約先: アイリスオーヤマ株式会社(空間デザイン部) / 請求日: 2026-06-20</t>
  </si>
  <si>
    <t>MFIW-000180</t>
  </si>
  <si>
    <t>請求区分と契約先: アイリスオーヤマ株式会社(ストアソリューション営業部ストアデザインチーム) / 請求日: 2026-06-20</t>
  </si>
  <si>
    <t>MFIW-000181</t>
  </si>
  <si>
    <t>請求区分と契約先: 九州旅客鉄道株式会社(博多設備区) / 請求日: 2026-06-20</t>
  </si>
  <si>
    <t>MFIW-000183</t>
  </si>
  <si>
    <t>株式会社デザインアーク</t>
  </si>
  <si>
    <t>請求区分と契約先: 株式会社デザインアーク / 請求日: 2026-06-20</t>
  </si>
  <si>
    <t>MFIW-000186</t>
  </si>
  <si>
    <t>47内装株式会社</t>
  </si>
  <si>
    <t>CP-00000025</t>
  </si>
  <si>
    <t>INV-0000000137</t>
  </si>
  <si>
    <t>商品誤紐づけ確認: 「Rendery(エンタープライズプラン)」 -&gt; 「[OLD] Rendery Enterpriseプラン(2025年9月まで)」</t>
  </si>
  <si>
    <t>MFIW-000187</t>
  </si>
  <si>
    <t>請求区分と契約先: 九州旅客鉄道株式会社(建設工事部施設課) / 請求日: 2026-06-20</t>
  </si>
  <si>
    <t>MFIW-000189</t>
  </si>
  <si>
    <t>請求区分と契約先: 東急リゾーツ＆ステイ株式会社 / 請求日: 2026-06-20</t>
  </si>
  <si>
    <t>MFIW-000191</t>
  </si>
  <si>
    <t>東急株式会社</t>
  </si>
  <si>
    <t>CP-00000004</t>
  </si>
  <si>
    <t>INV-0000000140</t>
  </si>
  <si>
    <t>MFIW-000192</t>
  </si>
  <si>
    <t>INV-0000000141</t>
  </si>
  <si>
    <t>商品誤紐づけ確認: 「Rendery　エンタープライズプラン(月額)」 -&gt; 「[OLD] Rendery Enterpriseプラン(2025年9月まで)」</t>
  </si>
  <si>
    <t>MFIW-000193</t>
  </si>
  <si>
    <t>INV-0000000142</t>
  </si>
  <si>
    <t>商品誤紐づけ確認: 「knock knock AI Basicプラン(月額)」 -&gt; 「[OLD] Rendery Enterpriseプラン(2025年9月まで)」</t>
  </si>
  <si>
    <t>MFIW-000194</t>
  </si>
  <si>
    <t>ホームトレードセンター株式会社</t>
  </si>
  <si>
    <t>CP-00000151</t>
  </si>
  <si>
    <t>INV-0000000143</t>
  </si>
  <si>
    <t>明細照合: Salesforce請求「INV-0000000143」 / Freee請求書ID 60861186</t>
  </si>
  <si>
    <t>MFIW-000195</t>
  </si>
  <si>
    <t>株式会社アズスタット</t>
  </si>
  <si>
    <t>CP-00000152</t>
  </si>
  <si>
    <t>INV-0000000144</t>
  </si>
  <si>
    <t>明細照合: Salesforce請求「INV-0000000144」 / Freee請求書ID 60861187</t>
  </si>
  <si>
    <t>MFIW-000196</t>
  </si>
  <si>
    <t>請求区分と契約先: 九州旅客鉄道株式会社(開発工事部) / 請求日: 2026-06-20</t>
  </si>
  <si>
    <t>MFIW-000198</t>
  </si>
  <si>
    <t>請求区分と契約先: 株式会社ＬＩＸＩＬ住宅研究所 / 請求日: 2026-06-20</t>
  </si>
  <si>
    <t>MFIW-000201</t>
  </si>
  <si>
    <t>株式会社フロンティアコンサルティング</t>
  </si>
  <si>
    <t>CP-00000006</t>
  </si>
  <si>
    <t>INV-0000000161</t>
  </si>
  <si>
    <t>商品誤紐づけ確認: 「Rendery　エンタープライズプラン」 -&gt; 「[OLD] Rendery Enterpriseプラン(2025年9月まで)」</t>
  </si>
  <si>
    <t>MFIW-000202</t>
  </si>
  <si>
    <t>INV-0000000162</t>
  </si>
  <si>
    <t>商品誤紐づけ確認: 「Rendery_Pro_月額利用料_注文番号：405342480」 -&gt; 「[代理販売20%] Rendery Proプラン」</t>
  </si>
  <si>
    <t>MFIW-000203</t>
  </si>
  <si>
    <t>請求区分と契約先: 三菱地所株式会社(DX推進部) / 請求日: 2026-06-20</t>
  </si>
  <si>
    <t>MFIW-000204</t>
  </si>
  <si>
    <t>請求区分と契約先: 野村不動産株式会社 / 請求日: 2026-06-20</t>
  </si>
  <si>
    <t>MFIW-000206</t>
  </si>
  <si>
    <t>梅林建設株式会社</t>
  </si>
  <si>
    <t>CP-00000105</t>
  </si>
  <si>
    <t>MFIW-000207</t>
  </si>
  <si>
    <t>株式会社デザインアーク（東京スペースソリューション第１営業所）</t>
  </si>
  <si>
    <t>請求区分と契約先: 株式会社デザインアーク（東京スペースソリューション第１営業所） / 請求日: 2026-06-20</t>
  </si>
  <si>
    <t>MFIW-000208</t>
  </si>
  <si>
    <t>株式会社NTTファシリティーズ</t>
  </si>
  <si>
    <t>請求区分と契約先: 株式会社NTTファシリティーズ / 請求日: 2026-06-20 || 商品選択: 「Rendery Enterpriseプラン_10アカウント_月払い費用」</t>
  </si>
  <si>
    <t>MFIW-000209</t>
  </si>
  <si>
    <t>合同会社小島屋</t>
  </si>
  <si>
    <t>請求区分と契約先: 合同会社小島屋 / 請求日: 2026-06-20</t>
  </si>
  <si>
    <t>MFIW-000211</t>
  </si>
  <si>
    <t>創建ホーム株式会社</t>
  </si>
  <si>
    <t>CP-00000110</t>
  </si>
  <si>
    <t>MFIW-000212</t>
  </si>
  <si>
    <t>株式会社コスモスイニシア（流通事業部）</t>
  </si>
  <si>
    <t>請求区分と契約先: 株式会社コスモスイニシア（流通事業部） / 請求日: 2026-06-20</t>
  </si>
  <si>
    <t>MFIW-000213</t>
  </si>
  <si>
    <t>INV-0000000165</t>
  </si>
  <si>
    <t>明細照合: Salesforce請求「INV-0000000165」 / Freee請求書ID 60953208</t>
  </si>
  <si>
    <t>MFIW-000215</t>
  </si>
  <si>
    <t>三菱地所レジデンス株式会社</t>
  </si>
  <si>
    <t>CP-00000069</t>
  </si>
  <si>
    <t>商品選択: 「Rendery Enterpriseプラン_3アカウント_月払い」</t>
  </si>
  <si>
    <t>MFIW-000156</t>
  </si>
  <si>
    <t>コクヨ株式会社 ワークプレイス事業本部 スペースソリューション本部</t>
  </si>
  <si>
    <t>請求区分と契約先: コクヨ株式会社 ワークプレイス事業本部 スペースソリューション本部 / 請求日: 2026-06-25 || 商品選択: 「パースディレクション」 || 商品選択: 「※パース製作も含む」</t>
  </si>
  <si>
    <t>MFIW-000157</t>
  </si>
  <si>
    <t>株式会社コスモスイニシア</t>
  </si>
  <si>
    <t>請求区分と契約先: 株式会社コスモスイニシア / 請求日: 2026-06-26 || 商品選択: 「プロポーザルに関するディレクション業務（着手金）」</t>
  </si>
  <si>
    <t>MFIW-000150</t>
  </si>
  <si>
    <t>株式会社オリバー</t>
  </si>
  <si>
    <t>請求区分と契約先: 株式会社オリバー / 請求日: 2026-06-29 || 商品選択: 「着手金として」</t>
  </si>
  <si>
    <t>MFIW-000151</t>
  </si>
  <si>
    <t>株式会社ＬＩＸＩＬ</t>
  </si>
  <si>
    <t>請求区分と契約先: 株式会社ＬＩＸＩＬ / 請求日: 2026-06-29 || 商品選択: 「AIによる空間提案ツール開発 （2026年6⽉-9⽉）」 || 商品選択: 「要件定義・コンサルティング」 || 商品選択: 「UX/UIデザイン」 || 商品選択: 「フロントエンド開発」 || 商品選択: 「AI画像⽣成パイプライン」 || 商品選択: 「バックエンド/API開発」 || 商品選択: 「テスト・品質保証」 || 商品選択: 「PM・運⽤準備」 || 商品選択: 「システム保守運⽤費⽤ （2026年9⽉-2027年3⽉）」 || 商品選択: 「AI 画像⽣成 API 費⽤ ※1000組×1組当たり4枚画像⽣成想定」</t>
  </si>
  <si>
    <t>MFIW-000152</t>
  </si>
  <si>
    <t>請求区分と契約先: 株式会社ＬＩＸＩＬ / 請求日: 2026-06-29 || 商品選択: 「着手金」</t>
  </si>
  <si>
    <t>MFIW-000153</t>
  </si>
  <si>
    <t>請求区分と契約先: クウジット株式会社 / 請求日: 2026-07-02 || 商品選択: 「システム保守運用費＿2026年4-6月度」</t>
  </si>
  <si>
    <t>MFIW-000154</t>
  </si>
  <si>
    <t>商品選択: 「交通費」</t>
  </si>
  <si>
    <t>MFIW-000373</t>
  </si>
  <si>
    <t>愛知建築士会</t>
  </si>
  <si>
    <t>請求区分と契約先: 愛知建築士会 / 請求日: 2026-07-07 || 商品選択: 「講師費」 || 商品選択: 「交通費（往復）」</t>
  </si>
  <si>
    <t>MFIW-000374</t>
  </si>
  <si>
    <t>請求区分と契約先: 野村不動産株式会社 / 請求日: 2026-07-14 || 商品選択: 「外観モデル」</t>
  </si>
  <si>
    <t>MFIW-000375</t>
  </si>
  <si>
    <t>三井不動産レジデンシャルリース株式会社(ソリューション推進部)</t>
  </si>
  <si>
    <t>請求区分と契約先: 三井不動産レジデンシャルリース株式会社(ソリューション推進部) / 請求日: 2026-07-20</t>
  </si>
  <si>
    <t>MFIW-000377</t>
  </si>
  <si>
    <t>株式会社三越伊勢丹プロパティ・デザイン</t>
  </si>
  <si>
    <t>請求区分と契約先: 株式会社三越伊勢丹プロパティ・デザイン / 請求日: 2026-07-20</t>
  </si>
  <si>
    <t>MFIW-000378</t>
  </si>
  <si>
    <t>株式会社アールシーコア</t>
  </si>
  <si>
    <t>請求区分と契約先: 株式会社アールシーコア / 請求日: 2026-07-20 || 商品選択: 「セキュリティオプション+_運用費用_月額」</t>
  </si>
  <si>
    <t>MFIW-000381</t>
  </si>
  <si>
    <t>株式会社錢高組</t>
  </si>
  <si>
    <t>請求区分と契約先: 株式会社錢高組 / 請求日: 2026-07-20</t>
  </si>
  <si>
    <t>MFIW-000386</t>
  </si>
  <si>
    <t>請求区分と契約先: 柏井建設株式会社 / 請求日: 2026-07-20</t>
  </si>
  <si>
    <t>MFIW-000388</t>
  </si>
  <si>
    <t>コンチネンタルホーム株式会社</t>
  </si>
  <si>
    <t>CP-00000285</t>
  </si>
  <si>
    <t>商品候補確認: 「Rendery_Proプラン_5アカウント(月額費用)」 -&gt; 「Rendery Proプラン」</t>
  </si>
  <si>
    <t>MFIW-000398</t>
  </si>
  <si>
    <t>請求区分と契約先: 近鉄不動産株式会社 / 請求日: 2026-07-20 || 商品候補確認: 「[月額費用]Rendery Enterpriseプラン_11アカウント」 -&gt; 「Rendery Enterpriseプラン」 || 商品選択: 「[月額費用]セキュリティオプション+_運用費用」</t>
  </si>
  <si>
    <t>MFIW-000401</t>
  </si>
  <si>
    <t>請求区分と契約先: 株式会社デザインアーク（東京スペースソリューション第１営業所） / 請求日: 2026-07-20</t>
  </si>
  <si>
    <t>MFIW-000403</t>
  </si>
  <si>
    <t>請求区分と契約先: 合同会社小島屋 / 請求日: 2026-07-20</t>
  </si>
  <si>
    <t>MFIW-000404</t>
  </si>
  <si>
    <t>MFIW-000405</t>
  </si>
  <si>
    <t>株式会社野村工務店</t>
  </si>
  <si>
    <t>請求区分と契約先: 株式会社野村工務店 / 請求日: 2026-07-20 || 商品候補確認: 「Rendery Enterpriseプラン_10アカウント_月額費用」 -&gt; 「[代理販売20%] Rendery Enterpriseプラン」</t>
  </si>
  <si>
    <t>MFIW-000406</t>
  </si>
  <si>
    <t>株式会社サンテン・コーポレーション</t>
  </si>
  <si>
    <t>請求区分と契約先: 株式会社サンテン・コーポレーション / 請求日: 2026-07-20 || 商品候補確認: 「Rendery Proプラン_月額費用」 -&gt; 「Rendery Proプラン」</t>
  </si>
  <si>
    <t>MFIW-000407</t>
  </si>
  <si>
    <t>株式会社パインウェル</t>
  </si>
  <si>
    <t>請求区分と契約先: 株式会社パインウェル / 請求日: 2026-07-20 || 商品候補確認: 「Rendery Proプラン（月額）」 -&gt; 「Rendery Proプラン」</t>
  </si>
  <si>
    <t>MFIW-000410</t>
  </si>
  <si>
    <t>商品候補確認: 「Rendery_Pro_月額利用料_注文番号：405342481」 -&gt; 「[代理販売20%] Rendery Proプラン」</t>
  </si>
  <si>
    <t>MFIW-000411</t>
  </si>
  <si>
    <t>請求区分と契約先: 帝国不動産株式会社 / 請求日: 2026-07-20</t>
  </si>
  <si>
    <t>MFIW-000412</t>
  </si>
  <si>
    <t>請求区分と契約先: 三菱地所株式会社(DX推進部) / 請求日: 2026-07-20</t>
  </si>
  <si>
    <t>MFIW-000413</t>
  </si>
  <si>
    <t>請求区分と契約先: 野村不動産株式会社 / 請求日: 2026-07-20 || 商品選択: 「セキュリティオプション(シングルサインオン)月額費用」</t>
  </si>
  <si>
    <t>MFIW-000414</t>
  </si>
  <si>
    <t>商品候補確認: 「Rendery Enterpriseプラン_10アカウント_月額費用」 -&gt; 「[代理販売20%] Rendery Enterpriseプラン」</t>
  </si>
  <si>
    <t>MFIW-000415</t>
  </si>
  <si>
    <t>株式会社ワンズ・レーニア</t>
  </si>
  <si>
    <t>請求区分と契約先: 株式会社ワンズ・レーニア / 請求日: 2026-07-20</t>
  </si>
  <si>
    <t>MFIW-000417</t>
  </si>
  <si>
    <t>MFIW-000419</t>
  </si>
  <si>
    <t>MFIW-000421</t>
  </si>
  <si>
    <t>請求区分と契約先: 株式会社ヨコハマ地所 / 請求日: 2026-07-20 || 商品候補確認: 「knock knock AI_Basicプラン」 -&gt; 「knock knock AI Basicプラン(50クレジット)」</t>
  </si>
  <si>
    <t>MFIW-000422</t>
  </si>
  <si>
    <t>MFIW-000424</t>
  </si>
  <si>
    <t>MFIW-000425</t>
  </si>
  <si>
    <t>MFIW-000426</t>
  </si>
  <si>
    <t>請求区分と契約先: 株式会社JR東日本建築設計 / 請求日: 2026-07-20</t>
  </si>
  <si>
    <t>MFIW-000427</t>
  </si>
  <si>
    <t>請求区分と契約先: アイリスオーヤマ株式会社(空間デザイン部) / 請求日: 2026-07-20</t>
  </si>
  <si>
    <t>MFIW-000428</t>
  </si>
  <si>
    <t>請求区分と契約先: アイリスオーヤマ株式会社(ストアソリューション営業部ストアデザインチーム) / 請求日: 2026-07-20</t>
  </si>
  <si>
    <t>MFIW-000429</t>
  </si>
  <si>
    <t>請求区分と契約先: 九州旅客鉄道株式会社(博多設備区) / 請求日: 2026-07-20</t>
  </si>
  <si>
    <t>MFIW-000431</t>
  </si>
  <si>
    <t>請求区分と契約先: 株式会社デザインアーク / 請求日: 2026-07-20</t>
  </si>
  <si>
    <t>MFIW-000435</t>
  </si>
  <si>
    <t>請求区分と契約先: 九州旅客鉄道株式会社(建設工事部施設課) / 請求日: 2026-07-20</t>
  </si>
  <si>
    <t>MFIW-000437</t>
  </si>
  <si>
    <t>請求区分と契約先: 東急リゾーツ＆ステイ株式会社 / 請求日: 2026-07-20</t>
  </si>
  <si>
    <t>MFIW-000440</t>
  </si>
  <si>
    <t>MFIW-000443</t>
  </si>
  <si>
    <t>請求区分と契約先: 九州旅客鉄道株式会社(開発工事部) / 請求日: 2026-07-20</t>
  </si>
  <si>
    <t>MFIW-000445</t>
  </si>
  <si>
    <t>請求区分と契約先: 株式会社ＬＩＸＩＬ住宅研究所 / 請求日: 2026-07-20</t>
  </si>
  <si>
    <t>MFIW-000447</t>
  </si>
  <si>
    <t>プラス株式会社</t>
  </si>
  <si>
    <t>請求区分と契約先: プラス株式会社 / 請求日: 2026-07-31 || 商品選択: 「事業開発検討」 || 商品選択: 「3Dモデル自動生成システム開発PoC」</t>
  </si>
  <si>
    <t>共通確認事項</t>
  </si>
  <si>
    <t>コード</t>
  </si>
  <si>
    <t>共通して確認すること</t>
  </si>
  <si>
    <t>確認後の対応</t>
  </si>
  <si>
    <t>請求が月契約・年契約・単発請求のどれか、既存契約へ紐づけるか新規契約を作るか、請求日を含む契約期間を作成してよいか確認する。</t>
  </si>
  <si>
    <t>取引先・商品・件名キーワード・請求区分が一意になるFreee請求契約ルールを登録し、有効化する。</t>
  </si>
  <si>
    <t>Freee明細名・単価・数量と候補商品が一致し、その商品として確定してよいか確認する。</t>
  </si>
  <si>
    <t>候補商品を確定商品に設定し、継続利用する名称は商品マッピングへ登録する。</t>
  </si>
  <si>
    <t>商品候補がない明細について、既存商品、汎用商品、商品マスタ追加のどれで管理するか確認する。</t>
  </si>
  <si>
    <t>商品マスタを選択または追加し、確定商品と商品マッピングを設定する。</t>
  </si>
  <si>
    <t>Freee明細名と確定商品名が類似していないため、単価・数量・契約内容を含めて誤紐づけでないか確認する。</t>
  </si>
  <si>
    <t>正しければ正式な別名として商品マッピングへ登録し、誤りなら正しい商品へ変更する。</t>
  </si>
  <si>
    <t>A01</t>
  </si>
  <si>
    <t>現在の請求金額と明細合計は一致しているため、古い金額エラーが再検証で消えるか確認する。</t>
  </si>
  <si>
    <t>対応済み。税込入力の税額二重計上を補正し、金額以外の課題があるレコードは該当コードへ振り分けた。</t>
  </si>
  <si>
    <t>現在も請求金額と明細合計が異なるため、税、値引き、源泉税、調整額、明細重複のどれが原因かFreee原本で確認する。</t>
  </si>
  <si>
    <t>Freee原本を正としてWorkの税額・請求金額・明細を補正する。</t>
  </si>
  <si>
    <t>作成済みSalesforce請求とFreee請求の明細を、Freee明細ID・件名・数量・単価・金額単位で比較する。</t>
  </si>
  <si>
    <t>既存明細を直接削除せず、差分確定後に不足明細の追加または誤明細の訂正を行う。</t>
  </si>
  <si>
    <t>対応履歴</t>
  </si>
  <si>
    <t>対応日</t>
  </si>
  <si>
    <t>対応内容</t>
  </si>
  <si>
    <t>対象</t>
  </si>
  <si>
    <t>結果</t>
  </si>
  <si>
    <t>残対応</t>
  </si>
  <si>
    <t>商品変換を確定</t>
  </si>
  <si>
    <t>knock knock AI Basicプラン → knock knock AI Basicプラン(50クレジット)</t>
  </si>
  <si>
    <t>8件の商品確定、3件の請求反映</t>
  </si>
  <si>
    <t>契約・契約期間確認4件、既存請求明細照合1件</t>
  </si>
  <si>
    <t>knock knock AI_Basicプラン(月額) → knock knock AI Basicプラン(50クレジット)</t>
  </si>
  <si>
    <t>24件の商品確定、16件の請求反映</t>
  </si>
  <si>
    <t>契約・契約期間確認3件、既存請求明細照合5件</t>
  </si>
  <si>
    <t>A01再検証・税額補正</t>
  </si>
  <si>
    <t>税込入力請求の税額二重計上5件</t>
  </si>
  <si>
    <t>既存請求補正2件、重複対象外1件、A01残件0件</t>
  </si>
  <si>
    <t>商品確認1件、契約・商品確認1件</t>
  </si>
  <si>
    <t>年一括商品を確定</t>
  </si>
  <si>
    <t>年払い表記のRendery商品9明細</t>
  </si>
  <si>
    <t>9明細を年一括商品へ確定、完全一致マッピング9件登録</t>
  </si>
  <si>
    <t>年払い割引・SSO・通常Pro商品の商品マスタ確認</t>
  </si>
  <si>
    <t>商品マスタに存在しない</t>
    <rPh sb="0" eb="2">
      <t>ショウヒン</t>
    </rPh>
    <rPh sb="6" eb="8">
      <t>ソンザイ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</si>
</sst>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"/>
  </numFmts>
  <fonts count="10">
    <font>
      <sz val="11"/>
      <color theme="1"/>
      <name val="游ゴシック"/>
      <family val="2"/>
      <charset val="128"/>
      <scheme val="minor"/>
    </font>
    <font>
      <sz val="10"/>
      <color theme="1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8"/>
      <color rgb="FFFFFFFF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10"/>
      <color rgb="FF123B63"/>
      <name val="Yu Gothic"/>
      <family val="3"/>
      <charset val="128"/>
    </font>
    <font>
      <b/>
      <sz val="10"/>
      <color rgb="FF123B63"/>
      <name val="Yu Gothic"/>
      <family val="3"/>
      <charset val="128"/>
    </font>
    <font>
      <b/>
      <sz val="10"/>
      <color rgb="FF2E6B2E"/>
      <name val="Yu Gothic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6"/>
      <color rgb="FFFFFFFF"/>
      <name val="Yu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23B6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6" fillId="4" borderId="1" xfId="0" applyFont="1" applyFill="1" applyBorder="1" applyAlignment="1">
      <alignment vertical="top"/>
    </xf>
    <xf numFmtId="176" fontId="6" fillId="4" borderId="1" xfId="0" applyNumberFormat="1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8" fillId="0" borderId="1" xfId="1" applyBorder="1" applyAlignment="1">
      <alignment vertical="top"/>
    </xf>
    <xf numFmtId="177" fontId="1" fillId="0" borderId="1" xfId="0" applyNumberFormat="1" applyFont="1" applyBorder="1" applyAlignment="1">
      <alignment vertical="top"/>
    </xf>
    <xf numFmtId="3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8" fillId="0" borderId="3" xfId="1" applyBorder="1" applyAlignment="1">
      <alignment vertical="top"/>
    </xf>
    <xf numFmtId="177" fontId="1" fillId="0" borderId="3" xfId="0" applyNumberFormat="1" applyFont="1" applyBorder="1" applyAlignment="1">
      <alignment vertical="top"/>
    </xf>
    <xf numFmtId="3" fontId="1" fillId="0" borderId="3" xfId="0" applyNumberFormat="1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4" fontId="1" fillId="0" borderId="1" xfId="0" applyNumberFormat="1" applyFont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7" fillId="6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/>
    </xf>
  </cellXfs>
  <cellStyles count="2">
    <cellStyle name="ハイパーリンク" xfId="1" builtinId="8"/>
    <cellStyle name="標準" xfId="0" builtinId="0"/>
  </cellStyles>
  <dxfs count="31">
    <dxf>
      <font>
        <color rgb="FF123B63"/>
      </font>
      <fill>
        <patternFill>
          <bgColor rgb="FFD9EA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E6B2E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i val="0"/>
        <color rgb="FF9C1C1C"/>
      </font>
      <fill>
        <patternFill>
          <bgColor rgb="FFFDE2E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/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numFmt numFmtId="177" formatCode="yyyy\-mm\-dd"/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numFmt numFmtId="3" formatCode="#,##0"/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numFmt numFmtId="177" formatCode="yyyy\-mm\-dd"/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/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border outline="0">
        <top style="thin">
          <color rgb="FFCBD5E1"/>
        </top>
      </border>
    </dxf>
    <dxf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Yu Gothic"/>
        <family val="3"/>
        <charset val="128"/>
        <scheme val="none"/>
      </font>
      <fill>
        <patternFill patternType="solid">
          <fgColor indexed="64"/>
          <bgColor rgb="FF123B63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7F7DF8-4E03-4154-938C-AB3D699D6074}" name="FreeeInvoiceReviewTable" displayName="FreeeInvoiceReviewTable" ref="A1:U181" totalsRowShown="0" headerRowDxfId="30" dataDxfId="28" headerRowBorderDxfId="29" tableBorderDxfId="27" totalsRowBorderDxfId="26">
  <autoFilter ref="A1:U181" xr:uid="{457F7DF8-4E03-4154-938C-AB3D699D6074}">
    <filterColumn colId="2">
      <filters>
        <filter val="商品未確定"/>
      </filters>
    </filterColumn>
  </autoFilter>
  <sortState xmlns:xlrd2="http://schemas.microsoft.com/office/spreadsheetml/2017/richdata2" ref="A5:U178">
    <sortCondition descending="1" ref="N1:N181"/>
  </sortState>
  <tableColumns count="21">
    <tableColumn id="1" xr3:uid="{C65B8707-FBC3-40DF-9E77-CC2B8D07A318}" name="No" dataDxfId="25"/>
    <tableColumn id="2" xr3:uid="{2D8B20BA-F4F3-490F-89D5-6C187DCFBCB7}" name="優先度" dataDxfId="24"/>
    <tableColumn id="3" xr3:uid="{0111AB82-3EAE-4244-AF1F-4192774539F7}" name="主原因" dataDxfId="23"/>
    <tableColumn id="4" xr3:uid="{22D39CEA-DB4E-4D41-BF51-828B78286706}" name="Work名" dataDxfId="22"/>
    <tableColumn id="5" xr3:uid="{51531F94-BA56-420D-9E3B-DF57695B8E08}" name="Salesforce URL" dataDxfId="21" dataCellStyle="ハイパーリンク"/>
    <tableColumn id="6" xr3:uid="{98C5FE77-7A3F-43CE-86AD-A6E69A1A75F2}" name="Freee請求書ID" dataDxfId="20"/>
    <tableColumn id="7" xr3:uid="{12D65DB0-CBF5-42DB-8752-E09C2C3F0757}" name="取引先" dataDxfId="19"/>
    <tableColumn id="8" xr3:uid="{25964589-351E-48CE-B2BC-995113EA74FD}" name="請求日" dataDxfId="18"/>
    <tableColumn id="9" xr3:uid="{FA227749-3ABA-44B6-9153-B33460903674}" name="請求金額" dataDxfId="17"/>
    <tableColumn id="10" xr3:uid="{81B54CC0-9B47-421D-9EBD-F14D39F86830}" name="契約管理" dataDxfId="16"/>
    <tableColumn id="11" xr3:uid="{740A03EE-7FCE-450B-9F36-53866321E93C}" name="契約期間" dataDxfId="15"/>
    <tableColumn id="12" xr3:uid="{7D52709A-1868-4F45-AFD0-DEB5F0301CF2}" name="作成済み請求" dataDxfId="14"/>
    <tableColumn id="13" xr3:uid="{C17D4EBF-981E-4069-9C35-BAD6D13FB9AB}" name="確認コード" dataDxfId="13"/>
    <tableColumn id="14" xr3:uid="{4B93B9C1-16CD-4C9C-9991-3C0176630A7F}" name="個別確認対象" dataDxfId="12"/>
    <tableColumn id="15" xr3:uid="{D674C066-B53E-4AD1-8947-CC18EB660518}" name="自動反映可否" dataDxfId="11"/>
    <tableColumn id="16" xr3:uid="{9179FD47-7749-48C4-86C4-98A1D34C1685}" name="主担当" dataDxfId="10"/>
    <tableColumn id="17" xr3:uid="{0DE1594B-2903-4F68-B759-E4A09BD3FDCF}" name="対応状況" dataDxfId="9"/>
    <tableColumn id="18" xr3:uid="{BC5F038F-A040-4AFC-97C9-B8FF4A6AFE1B}" name="確認結果" dataDxfId="8"/>
    <tableColumn id="19" xr3:uid="{FFCEEF4B-FC2B-4E7F-8AC3-34A16BCCE6A4}" name="対応者" dataDxfId="7"/>
    <tableColumn id="20" xr3:uid="{A87A2A56-2203-41CD-A9F3-9A1E172A391A}" name="確認日" dataDxfId="6"/>
    <tableColumn id="21" xr3:uid="{A58C841B-D3BA-4A8A-B3AB-AA4111F951DC}" name="備考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muraiarchitects.lightning.force.com/lightning/r/Mig_FreeeInvoiceWork__c/a0FRB00000WhTPX2A3/view" TargetMode="External"/><Relationship Id="rId21" Type="http://schemas.openxmlformats.org/officeDocument/2006/relationships/hyperlink" Target="https://samuraiarchitects.lightning.force.com/lightning/r/Mig_FreeeInvoiceWork__c/a0FRB00000WjhrH2AR/view" TargetMode="External"/><Relationship Id="rId42" Type="http://schemas.openxmlformats.org/officeDocument/2006/relationships/hyperlink" Target="https://samuraiarchitects.lightning.force.com/lightning/r/Mig_FreeeInvoiceWork__c/a0FRB00000Wj5UB2AZ/view" TargetMode="External"/><Relationship Id="rId63" Type="http://schemas.openxmlformats.org/officeDocument/2006/relationships/hyperlink" Target="https://samuraiarchitects.lightning.force.com/lightning/r/Mig_FreeeInvoiceWork__c/a0FRB00000WjSKN2A3/view" TargetMode="External"/><Relationship Id="rId84" Type="http://schemas.openxmlformats.org/officeDocument/2006/relationships/hyperlink" Target="https://samuraiarchitects.lightning.force.com/lightning/r/Mig_FreeeInvoiceWork__c/a0FRB00000WjTme2AF/view" TargetMode="External"/><Relationship Id="rId138" Type="http://schemas.openxmlformats.org/officeDocument/2006/relationships/hyperlink" Target="https://samuraiarchitects.lightning.force.com/lightning/r/Mig_FreeeInvoiceWork__c/a0FRB00000Wi4gd2AB/view" TargetMode="External"/><Relationship Id="rId159" Type="http://schemas.openxmlformats.org/officeDocument/2006/relationships/hyperlink" Target="https://samuraiarchitects.lightning.force.com/lightning/r/Mig_FreeeInvoiceWork__c/a0FRB00000YqK3z2AF/view" TargetMode="External"/><Relationship Id="rId170" Type="http://schemas.openxmlformats.org/officeDocument/2006/relationships/hyperlink" Target="https://samuraiarchitects.lightning.force.com/lightning/r/Mig_FreeeInvoiceWork__c/a0FRB00000YqLuR2AV/view" TargetMode="External"/><Relationship Id="rId107" Type="http://schemas.openxmlformats.org/officeDocument/2006/relationships/hyperlink" Target="https://samuraiarchitects.lightning.force.com/lightning/r/Mig_FreeeInvoiceWork__c/a0FRB00000WicaV2AR/view" TargetMode="External"/><Relationship Id="rId11" Type="http://schemas.openxmlformats.org/officeDocument/2006/relationships/hyperlink" Target="https://samuraiarchitects.lightning.force.com/lightning/r/Mig_FreeeInvoiceWork__c/a0FRB00000Wj59O2AR/view" TargetMode="External"/><Relationship Id="rId32" Type="http://schemas.openxmlformats.org/officeDocument/2006/relationships/hyperlink" Target="https://samuraiarchitects.lightning.force.com/lightning/r/Mig_FreeeInvoiceWork__c/a0FRB00000Wjfvu2AB/view" TargetMode="External"/><Relationship Id="rId53" Type="http://schemas.openxmlformats.org/officeDocument/2006/relationships/hyperlink" Target="https://samuraiarchitects.lightning.force.com/lightning/r/Mig_FreeeInvoiceWork__c/a0FRB00000WjFOj2AN/view" TargetMode="External"/><Relationship Id="rId74" Type="http://schemas.openxmlformats.org/officeDocument/2006/relationships/hyperlink" Target="https://samuraiarchitects.lightning.force.com/lightning/r/Mig_FreeeInvoiceWork__c/a0FRB00000WjTBV2A3/view" TargetMode="External"/><Relationship Id="rId128" Type="http://schemas.openxmlformats.org/officeDocument/2006/relationships/hyperlink" Target="https://samuraiarchitects.lightning.force.com/lightning/r/Mig_FreeeInvoiceWork__c/a0FRB00000WihDQ2AZ/view" TargetMode="External"/><Relationship Id="rId149" Type="http://schemas.openxmlformats.org/officeDocument/2006/relationships/hyperlink" Target="https://samuraiarchitects.lightning.force.com/lightning/r/Mig_FreeeInvoiceWork__c/a0FRB00000YptF02AJ/view" TargetMode="External"/><Relationship Id="rId5" Type="http://schemas.openxmlformats.org/officeDocument/2006/relationships/hyperlink" Target="https://samuraiarchitects.lightning.force.com/lightning/r/Mig_FreeeInvoiceWork__c/a0FRB00000Wj59H2AR/view" TargetMode="External"/><Relationship Id="rId95" Type="http://schemas.openxmlformats.org/officeDocument/2006/relationships/hyperlink" Target="https://samuraiarchitects.lightning.force.com/lightning/r/Mig_FreeeInvoiceWork__c/a0FRB00000UtM9v2AF/view" TargetMode="External"/><Relationship Id="rId160" Type="http://schemas.openxmlformats.org/officeDocument/2006/relationships/hyperlink" Target="https://samuraiarchitects.lightning.force.com/lightning/r/Mig_FreeeInvoiceWork__c/a0FRB00000YqK402AF/view" TargetMode="External"/><Relationship Id="rId181" Type="http://schemas.openxmlformats.org/officeDocument/2006/relationships/table" Target="../tables/table1.xml"/><Relationship Id="rId22" Type="http://schemas.openxmlformats.org/officeDocument/2006/relationships/hyperlink" Target="https://samuraiarchitects.lightning.force.com/lightning/r/Mig_FreeeInvoiceWork__c/a0FRB00000WjhrK2AR/view" TargetMode="External"/><Relationship Id="rId43" Type="http://schemas.openxmlformats.org/officeDocument/2006/relationships/hyperlink" Target="https://samuraiarchitects.lightning.force.com/lightning/r/Mig_FreeeInvoiceWork__c/a0FRB00000Wj5UF2AZ/view" TargetMode="External"/><Relationship Id="rId64" Type="http://schemas.openxmlformats.org/officeDocument/2006/relationships/hyperlink" Target="https://samuraiarchitects.lightning.force.com/lightning/r/Mig_FreeeInvoiceWork__c/a0FRB00000WjSKO2A3/view" TargetMode="External"/><Relationship Id="rId118" Type="http://schemas.openxmlformats.org/officeDocument/2006/relationships/hyperlink" Target="https://samuraiarchitects.lightning.force.com/lightning/r/Mig_FreeeInvoiceWork__c/a0FRB00000WhTPY2A3/view" TargetMode="External"/><Relationship Id="rId139" Type="http://schemas.openxmlformats.org/officeDocument/2006/relationships/hyperlink" Target="https://samuraiarchitects.lightning.force.com/lightning/r/Mig_FreeeInvoiceWork__c/a0FRB00000Wi4ge2AB/view" TargetMode="External"/><Relationship Id="rId85" Type="http://schemas.openxmlformats.org/officeDocument/2006/relationships/hyperlink" Target="https://samuraiarchitects.lightning.force.com/lightning/r/Mig_FreeeInvoiceWork__c/a0FRB00000WjTmf2AF/view" TargetMode="External"/><Relationship Id="rId150" Type="http://schemas.openxmlformats.org/officeDocument/2006/relationships/hyperlink" Target="https://samuraiarchitects.lightning.force.com/lightning/r/Mig_FreeeInvoiceWork__c/a0FRB00000YptF22AJ/view" TargetMode="External"/><Relationship Id="rId171" Type="http://schemas.openxmlformats.org/officeDocument/2006/relationships/hyperlink" Target="https://samuraiarchitects.lightning.force.com/lightning/r/Mig_FreeeInvoiceWork__c/a0FRB00000YqLuS2AV/view" TargetMode="External"/><Relationship Id="rId12" Type="http://schemas.openxmlformats.org/officeDocument/2006/relationships/hyperlink" Target="https://samuraiarchitects.lightning.force.com/lightning/r/Mig_FreeeInvoiceWork__c/a0FRB00000Wj59P2AR/view" TargetMode="External"/><Relationship Id="rId33" Type="http://schemas.openxmlformats.org/officeDocument/2006/relationships/hyperlink" Target="https://samuraiarchitects.lightning.force.com/lightning/r/Mig_FreeeInvoiceWork__c/a0FRB00000Wjfvv2AB/view" TargetMode="External"/><Relationship Id="rId108" Type="http://schemas.openxmlformats.org/officeDocument/2006/relationships/hyperlink" Target="https://samuraiarchitects.lightning.force.com/lightning/r/Mig_FreeeInvoiceWork__c/a0FRB00000WicaW2AR/view" TargetMode="External"/><Relationship Id="rId129" Type="http://schemas.openxmlformats.org/officeDocument/2006/relationships/hyperlink" Target="https://samuraiarchitects.lightning.force.com/lightning/r/Mig_FreeeInvoiceWork__c/a0FRB00000WihDR2AZ/view" TargetMode="External"/><Relationship Id="rId54" Type="http://schemas.openxmlformats.org/officeDocument/2006/relationships/hyperlink" Target="https://samuraiarchitects.lightning.force.com/lightning/r/Mig_FreeeInvoiceWork__c/a0FRB00000WjFOq2AN/view" TargetMode="External"/><Relationship Id="rId75" Type="http://schemas.openxmlformats.org/officeDocument/2006/relationships/hyperlink" Target="https://samuraiarchitects.lightning.force.com/lightning/r/Mig_FreeeInvoiceWork__c/a0FRB00000WjTBW2A3/view" TargetMode="External"/><Relationship Id="rId96" Type="http://schemas.openxmlformats.org/officeDocument/2006/relationships/hyperlink" Target="https://samuraiarchitects.lightning.force.com/lightning/r/Mig_FreeeInvoiceWork__c/a0FRB00000Wifcv2AB/view" TargetMode="External"/><Relationship Id="rId140" Type="http://schemas.openxmlformats.org/officeDocument/2006/relationships/hyperlink" Target="https://samuraiarchitects.lightning.force.com/lightning/r/Mig_FreeeInvoiceWork__c/a0FRB00000Wi4gf2AB/view" TargetMode="External"/><Relationship Id="rId161" Type="http://schemas.openxmlformats.org/officeDocument/2006/relationships/hyperlink" Target="https://samuraiarchitects.lightning.force.com/lightning/r/Mig_FreeeInvoiceWork__c/a0FRB00000YqK412AF/view" TargetMode="External"/><Relationship Id="rId6" Type="http://schemas.openxmlformats.org/officeDocument/2006/relationships/hyperlink" Target="https://samuraiarchitects.lightning.force.com/lightning/r/Mig_FreeeInvoiceWork__c/a0FRB00000Wj59I2AR/view" TargetMode="External"/><Relationship Id="rId23" Type="http://schemas.openxmlformats.org/officeDocument/2006/relationships/hyperlink" Target="https://samuraiarchitects.lightning.force.com/lightning/r/Mig_FreeeInvoiceWork__c/a0FRB00000WjhzH2AR/view" TargetMode="External"/><Relationship Id="rId119" Type="http://schemas.openxmlformats.org/officeDocument/2006/relationships/hyperlink" Target="https://samuraiarchitects.lightning.force.com/lightning/r/Mig_FreeeInvoiceWork__c/a0FRB00000WhTPZ2A3/view" TargetMode="External"/><Relationship Id="rId44" Type="http://schemas.openxmlformats.org/officeDocument/2006/relationships/hyperlink" Target="https://samuraiarchitects.lightning.force.com/lightning/r/Mig_FreeeInvoiceWork__c/a0FRB00000Wj5UI2AZ/view" TargetMode="External"/><Relationship Id="rId60" Type="http://schemas.openxmlformats.org/officeDocument/2006/relationships/hyperlink" Target="https://samuraiarchitects.lightning.force.com/lightning/r/Mig_FreeeInvoiceWork__c/a0FRB00000UtKjB2AV/view" TargetMode="External"/><Relationship Id="rId65" Type="http://schemas.openxmlformats.org/officeDocument/2006/relationships/hyperlink" Target="https://samuraiarchitects.lightning.force.com/lightning/r/Mig_FreeeInvoiceWork__c/a0FRB00000WjSKP2A3/view" TargetMode="External"/><Relationship Id="rId81" Type="http://schemas.openxmlformats.org/officeDocument/2006/relationships/hyperlink" Target="https://samuraiarchitects.lightning.force.com/lightning/r/Mig_FreeeInvoiceWork__c/a0FRB00000WjTBn2AN/view" TargetMode="External"/><Relationship Id="rId86" Type="http://schemas.openxmlformats.org/officeDocument/2006/relationships/hyperlink" Target="https://samuraiarchitects.lightning.force.com/lightning/r/Mig_FreeeInvoiceWork__c/a0FRB00000WjTmg2AF/view" TargetMode="External"/><Relationship Id="rId130" Type="http://schemas.openxmlformats.org/officeDocument/2006/relationships/hyperlink" Target="https://samuraiarchitects.lightning.force.com/lightning/r/Mig_FreeeInvoiceWork__c/a0FRB00000WihDS2AZ/view" TargetMode="External"/><Relationship Id="rId135" Type="http://schemas.openxmlformats.org/officeDocument/2006/relationships/hyperlink" Target="https://samuraiarchitects.lightning.force.com/lightning/r/Mig_FreeeInvoiceWork__c/a0FRB00000WihDZ2AZ/view" TargetMode="External"/><Relationship Id="rId151" Type="http://schemas.openxmlformats.org/officeDocument/2006/relationships/hyperlink" Target="https://samuraiarchitects.lightning.force.com/lightning/r/Mig_FreeeInvoiceWork__c/a0FRB00000Yq7Em2AJ/view" TargetMode="External"/><Relationship Id="rId156" Type="http://schemas.openxmlformats.org/officeDocument/2006/relationships/hyperlink" Target="https://samuraiarchitects.lightning.force.com/lightning/r/Mig_FreeeInvoiceWork__c/a0FRB00000YqK3u2AF/view" TargetMode="External"/><Relationship Id="rId177" Type="http://schemas.openxmlformats.org/officeDocument/2006/relationships/hyperlink" Target="https://samuraiarchitects.lightning.force.com/lightning/r/Mig_FreeeInvoiceWork__c/a0FRB00000Yr46o2AB/view" TargetMode="External"/><Relationship Id="rId172" Type="http://schemas.openxmlformats.org/officeDocument/2006/relationships/hyperlink" Target="https://samuraiarchitects.lightning.force.com/lightning/r/Mig_FreeeInvoiceWork__c/a0FRB00000YqLuT2AV/view" TargetMode="External"/><Relationship Id="rId13" Type="http://schemas.openxmlformats.org/officeDocument/2006/relationships/hyperlink" Target="https://samuraiarchitects.lightning.force.com/lightning/r/Mig_FreeeInvoiceWork__c/a0FRB00000Wj59Q2AR/view" TargetMode="External"/><Relationship Id="rId18" Type="http://schemas.openxmlformats.org/officeDocument/2006/relationships/hyperlink" Target="https://samuraiarchitects.lightning.force.com/lightning/r/Mig_FreeeInvoiceWork__c/a0FRB00000WjhrC2AR/view" TargetMode="External"/><Relationship Id="rId39" Type="http://schemas.openxmlformats.org/officeDocument/2006/relationships/hyperlink" Target="https://samuraiarchitects.lightning.force.com/lightning/r/Mig_FreeeInvoiceWork__c/a0FRB00000Wjfw12AB/view" TargetMode="External"/><Relationship Id="rId109" Type="http://schemas.openxmlformats.org/officeDocument/2006/relationships/hyperlink" Target="https://samuraiarchitects.lightning.force.com/lightning/r/Mig_FreeeInvoiceWork__c/a0FRB00000WicaX2AR/view" TargetMode="External"/><Relationship Id="rId34" Type="http://schemas.openxmlformats.org/officeDocument/2006/relationships/hyperlink" Target="https://samuraiarchitects.lightning.force.com/lightning/r/Mig_FreeeInvoiceWork__c/a0FRB00000Wjfvw2AB/view" TargetMode="External"/><Relationship Id="rId50" Type="http://schemas.openxmlformats.org/officeDocument/2006/relationships/hyperlink" Target="https://samuraiarchitects.lightning.force.com/lightning/r/Mig_FreeeInvoiceWork__c/a0FRB00000Wj5US2AZ/view" TargetMode="External"/><Relationship Id="rId55" Type="http://schemas.openxmlformats.org/officeDocument/2006/relationships/hyperlink" Target="https://samuraiarchitects.lightning.force.com/lightning/r/Mig_FreeeInvoiceWork__c/a0FRB00000WjFOt2AN/view" TargetMode="External"/><Relationship Id="rId76" Type="http://schemas.openxmlformats.org/officeDocument/2006/relationships/hyperlink" Target="https://samuraiarchitects.lightning.force.com/lightning/r/Mig_FreeeInvoiceWork__c/a0FRB00000WjTBX2A3/view" TargetMode="External"/><Relationship Id="rId97" Type="http://schemas.openxmlformats.org/officeDocument/2006/relationships/hyperlink" Target="https://samuraiarchitects.lightning.force.com/lightning/r/Mig_FreeeInvoiceWork__c/a0FRB00000WicaJ2AR/view" TargetMode="External"/><Relationship Id="rId104" Type="http://schemas.openxmlformats.org/officeDocument/2006/relationships/hyperlink" Target="https://samuraiarchitects.lightning.force.com/lightning/r/Mig_FreeeInvoiceWork__c/a0FRB00000WicaS2AR/view" TargetMode="External"/><Relationship Id="rId120" Type="http://schemas.openxmlformats.org/officeDocument/2006/relationships/hyperlink" Target="https://samuraiarchitects.lightning.force.com/lightning/r/Mig_FreeeInvoiceWork__c/a0FRB00000WhTPa2AN/view" TargetMode="External"/><Relationship Id="rId125" Type="http://schemas.openxmlformats.org/officeDocument/2006/relationships/hyperlink" Target="https://samuraiarchitects.lightning.force.com/lightning/r/Mig_FreeeInvoiceWork__c/a0FRB00000WihDM2AZ/view" TargetMode="External"/><Relationship Id="rId141" Type="http://schemas.openxmlformats.org/officeDocument/2006/relationships/hyperlink" Target="https://samuraiarchitects.lightning.force.com/lightning/r/Mig_FreeeInvoiceWork__c/a0FRB00000WiSXe2AN/view" TargetMode="External"/><Relationship Id="rId146" Type="http://schemas.openxmlformats.org/officeDocument/2006/relationships/hyperlink" Target="https://samuraiarchitects.lightning.force.com/lightning/r/Mig_FreeeInvoiceWork__c/a0FRB00000Ypg4u2AB/view" TargetMode="External"/><Relationship Id="rId167" Type="http://schemas.openxmlformats.org/officeDocument/2006/relationships/hyperlink" Target="https://samuraiarchitects.lightning.force.com/lightning/r/Mig_FreeeInvoiceWork__c/a0FRB00000YqSO92AN/view" TargetMode="External"/><Relationship Id="rId7" Type="http://schemas.openxmlformats.org/officeDocument/2006/relationships/hyperlink" Target="https://samuraiarchitects.lightning.force.com/lightning/r/Mig_FreeeInvoiceWork__c/a0FRB00000Wj59J2AR/view" TargetMode="External"/><Relationship Id="rId71" Type="http://schemas.openxmlformats.org/officeDocument/2006/relationships/hyperlink" Target="https://samuraiarchitects.lightning.force.com/lightning/r/Mig_FreeeInvoiceWork__c/a0FRB00000WjSKY2A3/view" TargetMode="External"/><Relationship Id="rId92" Type="http://schemas.openxmlformats.org/officeDocument/2006/relationships/hyperlink" Target="https://samuraiarchitects.lightning.force.com/lightning/r/Mig_FreeeInvoiceWork__c/a0FRB00000UtKw62AF/view" TargetMode="External"/><Relationship Id="rId162" Type="http://schemas.openxmlformats.org/officeDocument/2006/relationships/hyperlink" Target="https://samuraiarchitects.lightning.force.com/lightning/r/Mig_FreeeInvoiceWork__c/a0FRB00000YqK422AF/view" TargetMode="External"/><Relationship Id="rId2" Type="http://schemas.openxmlformats.org/officeDocument/2006/relationships/hyperlink" Target="https://samuraiarchitects.lightning.force.com/lightning/r/Mig_FreeeInvoiceWork__c/a0FRB00000UtK9v2AF/view" TargetMode="External"/><Relationship Id="rId29" Type="http://schemas.openxmlformats.org/officeDocument/2006/relationships/hyperlink" Target="https://samuraiarchitects.lightning.force.com/lightning/r/Mig_FreeeInvoiceWork__c/a0FRB00000Wjfvp2AB/view" TargetMode="External"/><Relationship Id="rId24" Type="http://schemas.openxmlformats.org/officeDocument/2006/relationships/hyperlink" Target="https://samuraiarchitects.lightning.force.com/lightning/r/Mig_FreeeInvoiceWork__c/a0FRB00000WjhzJ2AR/view" TargetMode="External"/><Relationship Id="rId40" Type="http://schemas.openxmlformats.org/officeDocument/2006/relationships/hyperlink" Target="https://samuraiarchitects.lightning.force.com/lightning/r/Mig_FreeeInvoiceWork__c/a0FRB00000Wjfw72AB/view" TargetMode="External"/><Relationship Id="rId45" Type="http://schemas.openxmlformats.org/officeDocument/2006/relationships/hyperlink" Target="https://samuraiarchitects.lightning.force.com/lightning/r/Mig_FreeeInvoiceWork__c/a0FRB00000Wj5UK2AZ/view" TargetMode="External"/><Relationship Id="rId66" Type="http://schemas.openxmlformats.org/officeDocument/2006/relationships/hyperlink" Target="https://samuraiarchitects.lightning.force.com/lightning/r/Mig_FreeeInvoiceWork__c/a0FRB00000WjSKR2A3/view" TargetMode="External"/><Relationship Id="rId87" Type="http://schemas.openxmlformats.org/officeDocument/2006/relationships/hyperlink" Target="https://samuraiarchitects.lightning.force.com/lightning/r/Mig_FreeeInvoiceWork__c/a0FRB00000WjTmi2AF/view" TargetMode="External"/><Relationship Id="rId110" Type="http://schemas.openxmlformats.org/officeDocument/2006/relationships/hyperlink" Target="https://samuraiarchitects.lightning.force.com/lightning/r/Mig_FreeeInvoiceWork__c/a0FRB00000WhTPL2A3/view" TargetMode="External"/><Relationship Id="rId115" Type="http://schemas.openxmlformats.org/officeDocument/2006/relationships/hyperlink" Target="https://samuraiarchitects.lightning.force.com/lightning/r/Mig_FreeeInvoiceWork__c/a0FRB00000WhTPT2A3/view" TargetMode="External"/><Relationship Id="rId131" Type="http://schemas.openxmlformats.org/officeDocument/2006/relationships/hyperlink" Target="https://samuraiarchitects.lightning.force.com/lightning/r/Mig_FreeeInvoiceWork__c/a0FRB00000WihDT2AZ/view" TargetMode="External"/><Relationship Id="rId136" Type="http://schemas.openxmlformats.org/officeDocument/2006/relationships/hyperlink" Target="https://samuraiarchitects.lightning.force.com/lightning/r/Mig_FreeeInvoiceWork__c/a0FRB00000WieAb2AJ/view" TargetMode="External"/><Relationship Id="rId157" Type="http://schemas.openxmlformats.org/officeDocument/2006/relationships/hyperlink" Target="https://samuraiarchitects.lightning.force.com/lightning/r/Mig_FreeeInvoiceWork__c/a0FRB00000YqK3v2AF/view" TargetMode="External"/><Relationship Id="rId178" Type="http://schemas.openxmlformats.org/officeDocument/2006/relationships/hyperlink" Target="https://samuraiarchitects.lightning.force.com/lightning/r/Mig_FreeeInvoiceWork__c/a0FRB00000Yr46r2AB/view" TargetMode="External"/><Relationship Id="rId61" Type="http://schemas.openxmlformats.org/officeDocument/2006/relationships/hyperlink" Target="https://samuraiarchitects.lightning.force.com/lightning/r/Mig_FreeeInvoiceWork__c/a0FRB00000Usb9g2AB/view" TargetMode="External"/><Relationship Id="rId82" Type="http://schemas.openxmlformats.org/officeDocument/2006/relationships/hyperlink" Target="https://samuraiarchitects.lightning.force.com/lightning/r/Mig_FreeeInvoiceWork__c/a0FRB00000WjTmb2AF/view" TargetMode="External"/><Relationship Id="rId152" Type="http://schemas.openxmlformats.org/officeDocument/2006/relationships/hyperlink" Target="https://samuraiarchitects.lightning.force.com/lightning/r/Mig_FreeeInvoiceWork__c/a0FRB00000Yq7Ep2AJ/view" TargetMode="External"/><Relationship Id="rId173" Type="http://schemas.openxmlformats.org/officeDocument/2006/relationships/hyperlink" Target="https://samuraiarchitects.lightning.force.com/lightning/r/Mig_FreeeInvoiceWork__c/a0FRB00000YqLuU2AV/view" TargetMode="External"/><Relationship Id="rId19" Type="http://schemas.openxmlformats.org/officeDocument/2006/relationships/hyperlink" Target="https://samuraiarchitects.lightning.force.com/lightning/r/Mig_FreeeInvoiceWork__c/a0FRB00000WjhrE2AR/view" TargetMode="External"/><Relationship Id="rId14" Type="http://schemas.openxmlformats.org/officeDocument/2006/relationships/hyperlink" Target="https://samuraiarchitects.lightning.force.com/lightning/r/Mig_FreeeInvoiceWork__c/a0FRB00000Wj59R2AR/view" TargetMode="External"/><Relationship Id="rId30" Type="http://schemas.openxmlformats.org/officeDocument/2006/relationships/hyperlink" Target="https://samuraiarchitects.lightning.force.com/lightning/r/Mig_FreeeInvoiceWork__c/a0FRB00000Wjfvr2AB/view" TargetMode="External"/><Relationship Id="rId35" Type="http://schemas.openxmlformats.org/officeDocument/2006/relationships/hyperlink" Target="https://samuraiarchitects.lightning.force.com/lightning/r/Mig_FreeeInvoiceWork__c/a0FRB00000Wjfvx2AB/view" TargetMode="External"/><Relationship Id="rId56" Type="http://schemas.openxmlformats.org/officeDocument/2006/relationships/hyperlink" Target="https://samuraiarchitects.lightning.force.com/lightning/r/Mig_FreeeInvoiceWork__c/a0FRB00000WjFOu2AN/view" TargetMode="External"/><Relationship Id="rId77" Type="http://schemas.openxmlformats.org/officeDocument/2006/relationships/hyperlink" Target="https://samuraiarchitects.lightning.force.com/lightning/r/Mig_FreeeInvoiceWork__c/a0FRB00000WjTBd2AN/view" TargetMode="External"/><Relationship Id="rId100" Type="http://schemas.openxmlformats.org/officeDocument/2006/relationships/hyperlink" Target="https://samuraiarchitects.lightning.force.com/lightning/r/Mig_FreeeInvoiceWork__c/a0FRB00000WicaN2AR/view" TargetMode="External"/><Relationship Id="rId105" Type="http://schemas.openxmlformats.org/officeDocument/2006/relationships/hyperlink" Target="https://samuraiarchitects.lightning.force.com/lightning/r/Mig_FreeeInvoiceWork__c/a0FRB00000WicaT2AR/view" TargetMode="External"/><Relationship Id="rId126" Type="http://schemas.openxmlformats.org/officeDocument/2006/relationships/hyperlink" Target="https://samuraiarchitects.lightning.force.com/lightning/r/Mig_FreeeInvoiceWork__c/a0FRB00000WihDN2AZ/view" TargetMode="External"/><Relationship Id="rId147" Type="http://schemas.openxmlformats.org/officeDocument/2006/relationships/hyperlink" Target="https://samuraiarchitects.lightning.force.com/lightning/r/Mig_FreeeInvoiceWork__c/a0FRB00000Ypg4v2AB/view" TargetMode="External"/><Relationship Id="rId168" Type="http://schemas.openxmlformats.org/officeDocument/2006/relationships/hyperlink" Target="https://samuraiarchitects.lightning.force.com/lightning/r/Mig_FreeeInvoiceWork__c/a0FRB00000YqSOB2A3/view" TargetMode="External"/><Relationship Id="rId8" Type="http://schemas.openxmlformats.org/officeDocument/2006/relationships/hyperlink" Target="https://samuraiarchitects.lightning.force.com/lightning/r/Mig_FreeeInvoiceWork__c/a0FRB00000Wj59L2AR/view" TargetMode="External"/><Relationship Id="rId51" Type="http://schemas.openxmlformats.org/officeDocument/2006/relationships/hyperlink" Target="https://samuraiarchitects.lightning.force.com/lightning/r/Mig_FreeeInvoiceWork__c/a0FRB00000Wj5UT2AZ/view" TargetMode="External"/><Relationship Id="rId72" Type="http://schemas.openxmlformats.org/officeDocument/2006/relationships/hyperlink" Target="https://samuraiarchitects.lightning.force.com/lightning/r/Mig_FreeeInvoiceWork__c/a0FRB00000WjSKZ2A3/view" TargetMode="External"/><Relationship Id="rId93" Type="http://schemas.openxmlformats.org/officeDocument/2006/relationships/hyperlink" Target="https://samuraiarchitects.lightning.force.com/lightning/r/Mig_FreeeInvoiceWork__c/a0FRB00000UtM9t2AF/view" TargetMode="External"/><Relationship Id="rId98" Type="http://schemas.openxmlformats.org/officeDocument/2006/relationships/hyperlink" Target="https://samuraiarchitects.lightning.force.com/lightning/r/Mig_FreeeInvoiceWork__c/a0FRB00000WicaL2AR/view" TargetMode="External"/><Relationship Id="rId121" Type="http://schemas.openxmlformats.org/officeDocument/2006/relationships/hyperlink" Target="https://samuraiarchitects.lightning.force.com/lightning/r/Mig_FreeeInvoiceWork__c/a0FRB00000WhTPb2AN/view" TargetMode="External"/><Relationship Id="rId142" Type="http://schemas.openxmlformats.org/officeDocument/2006/relationships/hyperlink" Target="https://samuraiarchitects.lightning.force.com/lightning/r/Mig_FreeeInvoiceWork__c/a0FRB00000Wic2L2AR/view" TargetMode="External"/><Relationship Id="rId163" Type="http://schemas.openxmlformats.org/officeDocument/2006/relationships/hyperlink" Target="https://samuraiarchitects.lightning.force.com/lightning/r/Mig_FreeeInvoiceWork__c/a0FRB00000YqSO22AN/view" TargetMode="External"/><Relationship Id="rId3" Type="http://schemas.openxmlformats.org/officeDocument/2006/relationships/hyperlink" Target="https://samuraiarchitects.lightning.force.com/lightning/r/Mig_FreeeInvoiceWork__c/a0FRB00000Wj59D2AR/view" TargetMode="External"/><Relationship Id="rId25" Type="http://schemas.openxmlformats.org/officeDocument/2006/relationships/hyperlink" Target="https://samuraiarchitects.lightning.force.com/lightning/r/Mig_FreeeInvoiceWork__c/a0FRB00000WjhzK2AR/view" TargetMode="External"/><Relationship Id="rId46" Type="http://schemas.openxmlformats.org/officeDocument/2006/relationships/hyperlink" Target="https://samuraiarchitects.lightning.force.com/lightning/r/Mig_FreeeInvoiceWork__c/a0FRB00000Wj5UM2AZ/view" TargetMode="External"/><Relationship Id="rId67" Type="http://schemas.openxmlformats.org/officeDocument/2006/relationships/hyperlink" Target="https://samuraiarchitects.lightning.force.com/lightning/r/Mig_FreeeInvoiceWork__c/a0FRB00000WjSKT2A3/view" TargetMode="External"/><Relationship Id="rId116" Type="http://schemas.openxmlformats.org/officeDocument/2006/relationships/hyperlink" Target="https://samuraiarchitects.lightning.force.com/lightning/r/Mig_FreeeInvoiceWork__c/a0FRB00000WhTPV2A3/view" TargetMode="External"/><Relationship Id="rId137" Type="http://schemas.openxmlformats.org/officeDocument/2006/relationships/hyperlink" Target="https://samuraiarchitects.lightning.force.com/lightning/r/Mig_FreeeInvoiceWork__c/a0FRB00000Wi6a42AB/view" TargetMode="External"/><Relationship Id="rId158" Type="http://schemas.openxmlformats.org/officeDocument/2006/relationships/hyperlink" Target="https://samuraiarchitects.lightning.force.com/lightning/r/Mig_FreeeInvoiceWork__c/a0FRB00000YqK3y2AF/view" TargetMode="External"/><Relationship Id="rId20" Type="http://schemas.openxmlformats.org/officeDocument/2006/relationships/hyperlink" Target="https://samuraiarchitects.lightning.force.com/lightning/r/Mig_FreeeInvoiceWork__c/a0FRB00000WjhrF2AR/view" TargetMode="External"/><Relationship Id="rId41" Type="http://schemas.openxmlformats.org/officeDocument/2006/relationships/hyperlink" Target="https://samuraiarchitects.lightning.force.com/lightning/r/Mig_FreeeInvoiceWork__c/a0FRB00000Wj5UA2AZ/view" TargetMode="External"/><Relationship Id="rId62" Type="http://schemas.openxmlformats.org/officeDocument/2006/relationships/hyperlink" Target="https://samuraiarchitects.lightning.force.com/lightning/r/Mig_FreeeInvoiceWork__c/a0FRB00000WjSKM2A3/view" TargetMode="External"/><Relationship Id="rId83" Type="http://schemas.openxmlformats.org/officeDocument/2006/relationships/hyperlink" Target="https://samuraiarchitects.lightning.force.com/lightning/r/Mig_FreeeInvoiceWork__c/a0FRB00000WjTmd2AF/view" TargetMode="External"/><Relationship Id="rId88" Type="http://schemas.openxmlformats.org/officeDocument/2006/relationships/hyperlink" Target="https://samuraiarchitects.lightning.force.com/lightning/r/Mig_FreeeInvoiceWork__c/a0FRB00000WjTmj2AF/view" TargetMode="External"/><Relationship Id="rId111" Type="http://schemas.openxmlformats.org/officeDocument/2006/relationships/hyperlink" Target="https://samuraiarchitects.lightning.force.com/lightning/r/Mig_FreeeInvoiceWork__c/a0FRB00000WhTPM2A3/view" TargetMode="External"/><Relationship Id="rId132" Type="http://schemas.openxmlformats.org/officeDocument/2006/relationships/hyperlink" Target="https://samuraiarchitects.lightning.force.com/lightning/r/Mig_FreeeInvoiceWork__c/a0FRB00000WihDV2AZ/view" TargetMode="External"/><Relationship Id="rId153" Type="http://schemas.openxmlformats.org/officeDocument/2006/relationships/hyperlink" Target="https://samuraiarchitects.lightning.force.com/lightning/r/Mig_FreeeInvoiceWork__c/a0FRB00000Yq7Er2AJ/view" TargetMode="External"/><Relationship Id="rId174" Type="http://schemas.openxmlformats.org/officeDocument/2006/relationships/hyperlink" Target="https://samuraiarchitects.lightning.force.com/lightning/r/Mig_FreeeInvoiceWork__c/a0FRB00000YqLuW2AV/view" TargetMode="External"/><Relationship Id="rId179" Type="http://schemas.openxmlformats.org/officeDocument/2006/relationships/hyperlink" Target="https://samuraiarchitects.lightning.force.com/lightning/r/Mig_FreeeInvoiceWork__c/a0FRB00000YrJ2X2AV/view" TargetMode="External"/><Relationship Id="rId15" Type="http://schemas.openxmlformats.org/officeDocument/2006/relationships/hyperlink" Target="https://samuraiarchitects.lightning.force.com/lightning/r/Mig_FreeeInvoiceWork__c/a0FRB00000Wj59S2AR/view" TargetMode="External"/><Relationship Id="rId36" Type="http://schemas.openxmlformats.org/officeDocument/2006/relationships/hyperlink" Target="https://samuraiarchitects.lightning.force.com/lightning/r/Mig_FreeeInvoiceWork__c/a0FRB00000Wjfvy2AB/view" TargetMode="External"/><Relationship Id="rId57" Type="http://schemas.openxmlformats.org/officeDocument/2006/relationships/hyperlink" Target="https://samuraiarchitects.lightning.force.com/lightning/r/Mig_FreeeInvoiceWork__c/a0FRB00000WjFOx2AN/view" TargetMode="External"/><Relationship Id="rId106" Type="http://schemas.openxmlformats.org/officeDocument/2006/relationships/hyperlink" Target="https://samuraiarchitects.lightning.force.com/lightning/r/Mig_FreeeInvoiceWork__c/a0FRB00000WicaU2AR/view" TargetMode="External"/><Relationship Id="rId127" Type="http://schemas.openxmlformats.org/officeDocument/2006/relationships/hyperlink" Target="https://samuraiarchitects.lightning.force.com/lightning/r/Mig_FreeeInvoiceWork__c/a0FRB00000WihDO2AZ/view" TargetMode="External"/><Relationship Id="rId10" Type="http://schemas.openxmlformats.org/officeDocument/2006/relationships/hyperlink" Target="https://samuraiarchitects.lightning.force.com/lightning/r/Mig_FreeeInvoiceWork__c/a0FRB00000Wj59N2AR/view" TargetMode="External"/><Relationship Id="rId31" Type="http://schemas.openxmlformats.org/officeDocument/2006/relationships/hyperlink" Target="https://samuraiarchitects.lightning.force.com/lightning/r/Mig_FreeeInvoiceWork__c/a0FRB00000Wjfvs2AB/view" TargetMode="External"/><Relationship Id="rId52" Type="http://schemas.openxmlformats.org/officeDocument/2006/relationships/hyperlink" Target="https://samuraiarchitects.lightning.force.com/lightning/r/Mig_FreeeInvoiceWork__c/a0FRB00000WjFOi2AN/view" TargetMode="External"/><Relationship Id="rId73" Type="http://schemas.openxmlformats.org/officeDocument/2006/relationships/hyperlink" Target="https://samuraiarchitects.lightning.force.com/lightning/r/Mig_FreeeInvoiceWork__c/a0FRB00000WjSKa2AN/view" TargetMode="External"/><Relationship Id="rId78" Type="http://schemas.openxmlformats.org/officeDocument/2006/relationships/hyperlink" Target="https://samuraiarchitects.lightning.force.com/lightning/r/Mig_FreeeInvoiceWork__c/a0FRB00000WjTBf2AN/view" TargetMode="External"/><Relationship Id="rId94" Type="http://schemas.openxmlformats.org/officeDocument/2006/relationships/hyperlink" Target="https://samuraiarchitects.lightning.force.com/lightning/r/Mig_FreeeInvoiceWork__c/a0FRB00000UtM9u2AF/view" TargetMode="External"/><Relationship Id="rId99" Type="http://schemas.openxmlformats.org/officeDocument/2006/relationships/hyperlink" Target="https://samuraiarchitects.lightning.force.com/lightning/r/Mig_FreeeInvoiceWork__c/a0FRB00000WicaM2AR/view" TargetMode="External"/><Relationship Id="rId101" Type="http://schemas.openxmlformats.org/officeDocument/2006/relationships/hyperlink" Target="https://samuraiarchitects.lightning.force.com/lightning/r/Mig_FreeeInvoiceWork__c/a0FRB00000WicaO2AR/view" TargetMode="External"/><Relationship Id="rId122" Type="http://schemas.openxmlformats.org/officeDocument/2006/relationships/hyperlink" Target="https://samuraiarchitects.lightning.force.com/lightning/r/Mig_FreeeInvoiceWork__c/a0FRB00000WhTPc2AN/view" TargetMode="External"/><Relationship Id="rId143" Type="http://schemas.openxmlformats.org/officeDocument/2006/relationships/hyperlink" Target="https://samuraiarchitects.lightning.force.com/lightning/r/Mig_FreeeInvoiceWork__c/a0FRB00000XX8tV2AT/view" TargetMode="External"/><Relationship Id="rId148" Type="http://schemas.openxmlformats.org/officeDocument/2006/relationships/hyperlink" Target="https://samuraiarchitects.lightning.force.com/lightning/r/Mig_FreeeInvoiceWork__c/a0FRB00000Ypg4y2AB/view" TargetMode="External"/><Relationship Id="rId164" Type="http://schemas.openxmlformats.org/officeDocument/2006/relationships/hyperlink" Target="https://samuraiarchitects.lightning.force.com/lightning/r/Mig_FreeeInvoiceWork__c/a0FRB00000YqSO42AN/view" TargetMode="External"/><Relationship Id="rId169" Type="http://schemas.openxmlformats.org/officeDocument/2006/relationships/hyperlink" Target="https://samuraiarchitects.lightning.force.com/lightning/r/Mig_FreeeInvoiceWork__c/a0FRB00000YqLuQ2AV/view" TargetMode="External"/><Relationship Id="rId4" Type="http://schemas.openxmlformats.org/officeDocument/2006/relationships/hyperlink" Target="https://samuraiarchitects.lightning.force.com/lightning/r/Mig_FreeeInvoiceWork__c/a0FRB00000Wj59F2AR/view" TargetMode="External"/><Relationship Id="rId9" Type="http://schemas.openxmlformats.org/officeDocument/2006/relationships/hyperlink" Target="https://samuraiarchitects.lightning.force.com/lightning/r/Mig_FreeeInvoiceWork__c/a0FRB00000Wj59M2AR/view" TargetMode="External"/><Relationship Id="rId180" Type="http://schemas.openxmlformats.org/officeDocument/2006/relationships/hyperlink" Target="https://samuraiarchitects.lightning.force.com/lightning/r/Mig_FreeeInvoiceWork__c/a0FRB00000YswQ42AJ/view" TargetMode="External"/><Relationship Id="rId26" Type="http://schemas.openxmlformats.org/officeDocument/2006/relationships/hyperlink" Target="https://samuraiarchitects.lightning.force.com/lightning/r/Mig_FreeeInvoiceWork__c/a0FRB00000WjhzM2AR/view" TargetMode="External"/><Relationship Id="rId47" Type="http://schemas.openxmlformats.org/officeDocument/2006/relationships/hyperlink" Target="https://samuraiarchitects.lightning.force.com/lightning/r/Mig_FreeeInvoiceWork__c/a0FRB00000Wj5UO2AZ/view" TargetMode="External"/><Relationship Id="rId68" Type="http://schemas.openxmlformats.org/officeDocument/2006/relationships/hyperlink" Target="https://samuraiarchitects.lightning.force.com/lightning/r/Mig_FreeeInvoiceWork__c/a0FRB00000WjSKU2A3/view" TargetMode="External"/><Relationship Id="rId89" Type="http://schemas.openxmlformats.org/officeDocument/2006/relationships/hyperlink" Target="https://samuraiarchitects.lightning.force.com/lightning/r/Mig_FreeeInvoiceWork__c/a0FRB00000WjTml2AF/view" TargetMode="External"/><Relationship Id="rId112" Type="http://schemas.openxmlformats.org/officeDocument/2006/relationships/hyperlink" Target="https://samuraiarchitects.lightning.force.com/lightning/r/Mig_FreeeInvoiceWork__c/a0FRB00000WhTPN2A3/view" TargetMode="External"/><Relationship Id="rId133" Type="http://schemas.openxmlformats.org/officeDocument/2006/relationships/hyperlink" Target="https://samuraiarchitects.lightning.force.com/lightning/r/Mig_FreeeInvoiceWork__c/a0FRB00000WihDW2AZ/view" TargetMode="External"/><Relationship Id="rId154" Type="http://schemas.openxmlformats.org/officeDocument/2006/relationships/hyperlink" Target="https://samuraiarchitects.lightning.force.com/lightning/r/Mig_FreeeInvoiceWork__c/a0FRB00000Yq7Es2AJ/view" TargetMode="External"/><Relationship Id="rId175" Type="http://schemas.openxmlformats.org/officeDocument/2006/relationships/hyperlink" Target="https://samuraiarchitects.lightning.force.com/lightning/r/Mig_FreeeInvoiceWork__c/a0FRB00000Yr46j2AB/view" TargetMode="External"/><Relationship Id="rId16" Type="http://schemas.openxmlformats.org/officeDocument/2006/relationships/hyperlink" Target="https://samuraiarchitects.lightning.force.com/lightning/r/Mig_FreeeInvoiceWork__c/a0FRB00000Wio6k2AB/view" TargetMode="External"/><Relationship Id="rId37" Type="http://schemas.openxmlformats.org/officeDocument/2006/relationships/hyperlink" Target="https://samuraiarchitects.lightning.force.com/lightning/r/Mig_FreeeInvoiceWork__c/a0FRB00000Wjfvz2AB/view" TargetMode="External"/><Relationship Id="rId58" Type="http://schemas.openxmlformats.org/officeDocument/2006/relationships/hyperlink" Target="https://samuraiarchitects.lightning.force.com/lightning/r/Mig_FreeeInvoiceWork__c/a0FRB00000WjFOy2AN/view" TargetMode="External"/><Relationship Id="rId79" Type="http://schemas.openxmlformats.org/officeDocument/2006/relationships/hyperlink" Target="https://samuraiarchitects.lightning.force.com/lightning/r/Mig_FreeeInvoiceWork__c/a0FRB00000WjTBg2AN/view" TargetMode="External"/><Relationship Id="rId102" Type="http://schemas.openxmlformats.org/officeDocument/2006/relationships/hyperlink" Target="https://samuraiarchitects.lightning.force.com/lightning/r/Mig_FreeeInvoiceWork__c/a0FRB00000WicaP2AR/view" TargetMode="External"/><Relationship Id="rId123" Type="http://schemas.openxmlformats.org/officeDocument/2006/relationships/hyperlink" Target="https://samuraiarchitects.lightning.force.com/lightning/r/Mig_FreeeInvoiceWork__c/a0FRB00000WhTPe2AN/view" TargetMode="External"/><Relationship Id="rId144" Type="http://schemas.openxmlformats.org/officeDocument/2006/relationships/hyperlink" Target="https://samuraiarchitects.lightning.force.com/lightning/r/Mig_FreeeInvoiceWork__c/a0FRB00000YomM12AJ/view" TargetMode="External"/><Relationship Id="rId90" Type="http://schemas.openxmlformats.org/officeDocument/2006/relationships/hyperlink" Target="https://samuraiarchitects.lightning.force.com/lightning/r/Mig_FreeeInvoiceWork__c/a0FRB00000WjTmm2AF/view" TargetMode="External"/><Relationship Id="rId165" Type="http://schemas.openxmlformats.org/officeDocument/2006/relationships/hyperlink" Target="https://samuraiarchitects.lightning.force.com/lightning/r/Mig_FreeeInvoiceWork__c/a0FRB00000YqSO62AN/view" TargetMode="External"/><Relationship Id="rId27" Type="http://schemas.openxmlformats.org/officeDocument/2006/relationships/hyperlink" Target="https://samuraiarchitects.lightning.force.com/lightning/r/Mig_FreeeInvoiceWork__c/a0FRB00000WjhzN2AR/view" TargetMode="External"/><Relationship Id="rId48" Type="http://schemas.openxmlformats.org/officeDocument/2006/relationships/hyperlink" Target="https://samuraiarchitects.lightning.force.com/lightning/r/Mig_FreeeInvoiceWork__c/a0FRB00000Wj5UQ2AZ/view" TargetMode="External"/><Relationship Id="rId69" Type="http://schemas.openxmlformats.org/officeDocument/2006/relationships/hyperlink" Target="https://samuraiarchitects.lightning.force.com/lightning/r/Mig_FreeeInvoiceWork__c/a0FRB00000WjSKW2A3/view" TargetMode="External"/><Relationship Id="rId113" Type="http://schemas.openxmlformats.org/officeDocument/2006/relationships/hyperlink" Target="https://samuraiarchitects.lightning.force.com/lightning/r/Mig_FreeeInvoiceWork__c/a0FRB00000WhTPP2A3/view" TargetMode="External"/><Relationship Id="rId134" Type="http://schemas.openxmlformats.org/officeDocument/2006/relationships/hyperlink" Target="https://samuraiarchitects.lightning.force.com/lightning/r/Mig_FreeeInvoiceWork__c/a0FRB00000WihDX2AZ/view" TargetMode="External"/><Relationship Id="rId80" Type="http://schemas.openxmlformats.org/officeDocument/2006/relationships/hyperlink" Target="https://samuraiarchitects.lightning.force.com/lightning/r/Mig_FreeeInvoiceWork__c/a0FRB00000WjTBk2AN/view" TargetMode="External"/><Relationship Id="rId155" Type="http://schemas.openxmlformats.org/officeDocument/2006/relationships/hyperlink" Target="https://samuraiarchitects.lightning.force.com/lightning/r/Mig_FreeeInvoiceWork__c/a0FRB00000YqK3t2AF/view" TargetMode="External"/><Relationship Id="rId176" Type="http://schemas.openxmlformats.org/officeDocument/2006/relationships/hyperlink" Target="https://samuraiarchitects.lightning.force.com/lightning/r/Mig_FreeeInvoiceWork__c/a0FRB00000Yr46l2AB/view" TargetMode="External"/><Relationship Id="rId17" Type="http://schemas.openxmlformats.org/officeDocument/2006/relationships/hyperlink" Target="https://samuraiarchitects.lightning.force.com/lightning/r/Mig_FreeeInvoiceWork__c/a0FRB00000Wio6l2AB/view" TargetMode="External"/><Relationship Id="rId38" Type="http://schemas.openxmlformats.org/officeDocument/2006/relationships/hyperlink" Target="https://samuraiarchitects.lightning.force.com/lightning/r/Mig_FreeeInvoiceWork__c/a0FRB00000Wjfw02AB/view" TargetMode="External"/><Relationship Id="rId59" Type="http://schemas.openxmlformats.org/officeDocument/2006/relationships/hyperlink" Target="https://samuraiarchitects.lightning.force.com/lightning/r/Mig_FreeeInvoiceWork__c/a0FRB00000WjFOz2AN/view" TargetMode="External"/><Relationship Id="rId103" Type="http://schemas.openxmlformats.org/officeDocument/2006/relationships/hyperlink" Target="https://samuraiarchitects.lightning.force.com/lightning/r/Mig_FreeeInvoiceWork__c/a0FRB00000WicaQ2AR/view" TargetMode="External"/><Relationship Id="rId124" Type="http://schemas.openxmlformats.org/officeDocument/2006/relationships/hyperlink" Target="https://samuraiarchitects.lightning.force.com/lightning/r/Mig_FreeeInvoiceWork__c/a0FRB00000WihDL2AZ/view" TargetMode="External"/><Relationship Id="rId70" Type="http://schemas.openxmlformats.org/officeDocument/2006/relationships/hyperlink" Target="https://samuraiarchitects.lightning.force.com/lightning/r/Mig_FreeeInvoiceWork__c/a0FRB00000WjSKX2A3/view" TargetMode="External"/><Relationship Id="rId91" Type="http://schemas.openxmlformats.org/officeDocument/2006/relationships/hyperlink" Target="https://samuraiarchitects.lightning.force.com/lightning/r/Mig_FreeeInvoiceWork__c/a0FRB00000UtKuT2AV/view" TargetMode="External"/><Relationship Id="rId145" Type="http://schemas.openxmlformats.org/officeDocument/2006/relationships/hyperlink" Target="https://samuraiarchitects.lightning.force.com/lightning/r/Mig_FreeeInvoiceWork__c/a0FRB00000Ypg4s2AB/view" TargetMode="External"/><Relationship Id="rId166" Type="http://schemas.openxmlformats.org/officeDocument/2006/relationships/hyperlink" Target="https://samuraiarchitects.lightning.force.com/lightning/r/Mig_FreeeInvoiceWork__c/a0FRB00000YqSO82AN/view" TargetMode="External"/><Relationship Id="rId1" Type="http://schemas.openxmlformats.org/officeDocument/2006/relationships/hyperlink" Target="https://samuraiarchitects.lightning.force.com/lightning/r/Mig_FreeeInvoiceWork__c/a0FRB00000UtJvB2AV/view" TargetMode="External"/><Relationship Id="rId28" Type="http://schemas.openxmlformats.org/officeDocument/2006/relationships/hyperlink" Target="https://samuraiarchitects.lightning.force.com/lightning/r/Mig_FreeeInvoiceWork__c/a0FRB00000UtKGA2A3/view" TargetMode="External"/><Relationship Id="rId49" Type="http://schemas.openxmlformats.org/officeDocument/2006/relationships/hyperlink" Target="https://samuraiarchitects.lightning.force.com/lightning/r/Mig_FreeeInvoiceWork__c/a0FRB00000Wj5UR2AZ/view" TargetMode="External"/><Relationship Id="rId114" Type="http://schemas.openxmlformats.org/officeDocument/2006/relationships/hyperlink" Target="https://samuraiarchitects.lightning.force.com/lightning/r/Mig_FreeeInvoiceWork__c/a0FRB00000WhTPS2A3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6DB9-275C-4EC0-A5AC-67F54922D719}">
  <dimension ref="A1:E7"/>
  <sheetViews>
    <sheetView showGridLines="0" workbookViewId="0"/>
  </sheetViews>
  <sheetFormatPr defaultRowHeight="16.5"/>
  <cols>
    <col min="1" max="1" width="13.625" style="1" customWidth="1"/>
    <col min="2" max="2" width="28.625" style="1" customWidth="1"/>
    <col min="3" max="3" width="55.625" style="1" customWidth="1"/>
    <col min="4" max="4" width="34.625" style="1" customWidth="1"/>
    <col min="5" max="5" width="48.625" style="1" customWidth="1"/>
    <col min="6" max="16384" width="9" style="1"/>
  </cols>
  <sheetData>
    <row r="1" spans="1:5" ht="25.5">
      <c r="A1" s="26" t="s">
        <v>552</v>
      </c>
      <c r="B1" s="26"/>
      <c r="C1" s="26"/>
      <c r="D1" s="26"/>
      <c r="E1" s="26"/>
    </row>
    <row r="2" spans="1:5">
      <c r="A2" s="4"/>
      <c r="B2" s="4"/>
      <c r="C2" s="4"/>
      <c r="D2" s="4"/>
      <c r="E2" s="4"/>
    </row>
    <row r="3" spans="1:5">
      <c r="A3" s="5" t="s">
        <v>553</v>
      </c>
      <c r="B3" s="5" t="s">
        <v>554</v>
      </c>
      <c r="C3" s="5" t="s">
        <v>555</v>
      </c>
      <c r="D3" s="5" t="s">
        <v>556</v>
      </c>
      <c r="E3" s="5" t="s">
        <v>557</v>
      </c>
    </row>
    <row r="4" spans="1:5" ht="45" customHeight="1">
      <c r="A4" s="22">
        <v>46227</v>
      </c>
      <c r="B4" s="13" t="s">
        <v>558</v>
      </c>
      <c r="C4" s="13" t="s">
        <v>559</v>
      </c>
      <c r="D4" s="13" t="s">
        <v>560</v>
      </c>
      <c r="E4" s="13" t="s">
        <v>561</v>
      </c>
    </row>
    <row r="5" spans="1:5" ht="45" customHeight="1">
      <c r="A5" s="22">
        <v>46227</v>
      </c>
      <c r="B5" s="13" t="s">
        <v>558</v>
      </c>
      <c r="C5" s="13" t="s">
        <v>562</v>
      </c>
      <c r="D5" s="13" t="s">
        <v>563</v>
      </c>
      <c r="E5" s="13" t="s">
        <v>564</v>
      </c>
    </row>
    <row r="6" spans="1:5" ht="45" customHeight="1">
      <c r="A6" s="22">
        <v>46227</v>
      </c>
      <c r="B6" s="13" t="s">
        <v>565</v>
      </c>
      <c r="C6" s="13" t="s">
        <v>566</v>
      </c>
      <c r="D6" s="13" t="s">
        <v>567</v>
      </c>
      <c r="E6" s="13" t="s">
        <v>568</v>
      </c>
    </row>
    <row r="7" spans="1:5" ht="45" customHeight="1">
      <c r="A7" s="22">
        <v>46227</v>
      </c>
      <c r="B7" s="13" t="s">
        <v>569</v>
      </c>
      <c r="C7" s="13" t="s">
        <v>570</v>
      </c>
      <c r="D7" s="13" t="s">
        <v>571</v>
      </c>
      <c r="E7" s="13" t="s">
        <v>572</v>
      </c>
    </row>
  </sheetData>
  <mergeCells count="1">
    <mergeCell ref="A1:E1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9E5EE-D7C4-4105-85B6-D1D406397EC7}">
  <dimension ref="A1:D10"/>
  <sheetViews>
    <sheetView showGridLines="0" zoomScale="85" zoomScaleNormal="85" workbookViewId="0">
      <pane ySplit="3" topLeftCell="A4" activePane="bottomLeft" state="frozenSplit"/>
      <selection pane="bottomLeft" sqref="A1:D1"/>
    </sheetView>
  </sheetViews>
  <sheetFormatPr defaultRowHeight="16.5"/>
  <cols>
    <col min="1" max="1" width="10.625" style="1" customWidth="1"/>
    <col min="2" max="2" width="12.625" style="1" customWidth="1"/>
    <col min="3" max="4" width="65.625" style="1" customWidth="1"/>
    <col min="5" max="16384" width="9" style="1"/>
  </cols>
  <sheetData>
    <row r="1" spans="1:4" ht="25.5">
      <c r="A1" s="26" t="s">
        <v>533</v>
      </c>
      <c r="B1" s="26"/>
      <c r="C1" s="26"/>
      <c r="D1" s="26"/>
    </row>
    <row r="2" spans="1:4">
      <c r="A2" s="4"/>
      <c r="B2" s="4"/>
      <c r="C2" s="4"/>
      <c r="D2" s="4"/>
    </row>
    <row r="3" spans="1:4">
      <c r="A3" s="5" t="s">
        <v>534</v>
      </c>
      <c r="B3" s="5" t="s">
        <v>2</v>
      </c>
      <c r="C3" s="5" t="s">
        <v>535</v>
      </c>
      <c r="D3" s="5" t="s">
        <v>536</v>
      </c>
    </row>
    <row r="4" spans="1:4" ht="48" customHeight="1">
      <c r="A4" s="4" t="s">
        <v>67</v>
      </c>
      <c r="B4" s="4">
        <v>117</v>
      </c>
      <c r="C4" s="13" t="s">
        <v>537</v>
      </c>
      <c r="D4" s="13" t="s">
        <v>538</v>
      </c>
    </row>
    <row r="5" spans="1:4" ht="48" customHeight="1">
      <c r="A5" s="4" t="s">
        <v>73</v>
      </c>
      <c r="B5" s="4">
        <v>43</v>
      </c>
      <c r="C5" s="13" t="s">
        <v>539</v>
      </c>
      <c r="D5" s="13" t="s">
        <v>540</v>
      </c>
    </row>
    <row r="6" spans="1:4" ht="48" customHeight="1">
      <c r="A6" s="4" t="s">
        <v>86</v>
      </c>
      <c r="B6" s="4">
        <v>35</v>
      </c>
      <c r="C6" s="13" t="s">
        <v>541</v>
      </c>
      <c r="D6" s="13" t="s">
        <v>542</v>
      </c>
    </row>
    <row r="7" spans="1:4" ht="48" customHeight="1">
      <c r="A7" s="4" t="s">
        <v>62</v>
      </c>
      <c r="B7" s="4">
        <v>11</v>
      </c>
      <c r="C7" s="13" t="s">
        <v>543</v>
      </c>
      <c r="D7" s="13" t="s">
        <v>544</v>
      </c>
    </row>
    <row r="8" spans="1:4" ht="48" customHeight="1">
      <c r="A8" s="4" t="s">
        <v>545</v>
      </c>
      <c r="B8" s="4">
        <v>0</v>
      </c>
      <c r="C8" s="13" t="s">
        <v>546</v>
      </c>
      <c r="D8" s="13" t="s">
        <v>547</v>
      </c>
    </row>
    <row r="9" spans="1:4" ht="48" customHeight="1">
      <c r="A9" s="4" t="s">
        <v>308</v>
      </c>
      <c r="B9" s="4">
        <v>1</v>
      </c>
      <c r="C9" s="13" t="s">
        <v>548</v>
      </c>
      <c r="D9" s="13" t="s">
        <v>549</v>
      </c>
    </row>
    <row r="10" spans="1:4" ht="48" customHeight="1">
      <c r="A10" s="4" t="s">
        <v>52</v>
      </c>
      <c r="B10" s="4">
        <v>12</v>
      </c>
      <c r="C10" s="13" t="s">
        <v>550</v>
      </c>
      <c r="D10" s="13" t="s">
        <v>551</v>
      </c>
    </row>
  </sheetData>
  <mergeCells count="1">
    <mergeCell ref="A1:D1"/>
  </mergeCells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9574-BB59-43CA-A98D-E618E161ECF6}">
  <dimension ref="A1:U181"/>
  <sheetViews>
    <sheetView showGridLines="0" tabSelected="1" zoomScale="80" zoomScaleNormal="80" workbookViewId="0">
      <pane xSplit="4" ySplit="1" topLeftCell="M5" activePane="bottomRight" state="frozenSplit"/>
      <selection pane="topRight" activeCell="E1" sqref="E1"/>
      <selection pane="bottomLeft" activeCell="A2" sqref="A2"/>
      <selection pane="bottomRight" activeCell="X32" sqref="X32"/>
    </sheetView>
  </sheetViews>
  <sheetFormatPr defaultRowHeight="16.5"/>
  <cols>
    <col min="1" max="1" width="7.625" style="1" customWidth="1"/>
    <col min="2" max="2" width="8.625" style="1" customWidth="1"/>
    <col min="3" max="3" width="23.625" style="1" customWidth="1"/>
    <col min="4" max="4" width="15.625" style="1" customWidth="1"/>
    <col min="5" max="5" width="22.625" style="1" customWidth="1"/>
    <col min="6" max="6" width="16.625" style="1" customWidth="1"/>
    <col min="7" max="7" width="28.625" style="1" customWidth="1"/>
    <col min="8" max="8" width="12.625" style="1" customWidth="1"/>
    <col min="9" max="9" width="14.625" style="1" customWidth="1"/>
    <col min="10" max="12" width="15.625" style="1" customWidth="1"/>
    <col min="13" max="13" width="12.625" style="1" customWidth="1"/>
    <col min="14" max="14" width="58.625" style="1" customWidth="1"/>
    <col min="15" max="15" width="20.625" style="1" customWidth="1"/>
    <col min="16" max="16" width="14.625" style="1" customWidth="1"/>
    <col min="17" max="18" width="12.625" style="1" customWidth="1"/>
    <col min="19" max="19" width="14.625" style="1" customWidth="1"/>
    <col min="20" max="20" width="12.625" style="1" customWidth="1"/>
    <col min="21" max="21" width="30.625" style="1" customWidth="1"/>
    <col min="22" max="16384" width="9" style="1"/>
  </cols>
  <sheetData>
    <row r="1" spans="1:21" ht="33.950000000000003" customHeight="1">
      <c r="A1" s="6" t="s">
        <v>28</v>
      </c>
      <c r="B1" s="7" t="s">
        <v>29</v>
      </c>
      <c r="C1" s="7" t="s">
        <v>5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s="7" t="s">
        <v>42</v>
      </c>
      <c r="Q1" s="7" t="s">
        <v>15</v>
      </c>
      <c r="R1" s="7" t="s">
        <v>43</v>
      </c>
      <c r="S1" s="7" t="s">
        <v>44</v>
      </c>
      <c r="T1" s="7" t="s">
        <v>45</v>
      </c>
      <c r="U1" s="8" t="s">
        <v>46</v>
      </c>
    </row>
    <row r="2" spans="1:21" ht="45" hidden="1" customHeight="1">
      <c r="A2" s="9">
        <v>1</v>
      </c>
      <c r="B2" s="4" t="s">
        <v>47</v>
      </c>
      <c r="C2" s="4" t="s">
        <v>11</v>
      </c>
      <c r="D2" s="4" t="s">
        <v>48</v>
      </c>
      <c r="E2" s="10" t="s">
        <v>57</v>
      </c>
      <c r="F2" s="4">
        <v>53825605</v>
      </c>
      <c r="G2" s="4" t="s">
        <v>49</v>
      </c>
      <c r="H2" s="11">
        <v>46094</v>
      </c>
      <c r="I2" s="12">
        <v>12870000</v>
      </c>
      <c r="J2" s="4"/>
      <c r="K2" s="4" t="s">
        <v>50</v>
      </c>
      <c r="L2" s="4" t="s">
        <v>51</v>
      </c>
      <c r="M2" s="4" t="s">
        <v>52</v>
      </c>
      <c r="N2" s="13" t="s">
        <v>53</v>
      </c>
      <c r="O2" s="4" t="s">
        <v>54</v>
      </c>
      <c r="P2" s="4" t="s">
        <v>55</v>
      </c>
      <c r="Q2" s="4" t="s">
        <v>17</v>
      </c>
      <c r="R2" s="4" t="s">
        <v>56</v>
      </c>
      <c r="S2" s="4"/>
      <c r="T2" s="11"/>
      <c r="U2" s="14"/>
    </row>
    <row r="3" spans="1:21" ht="45" hidden="1" customHeight="1">
      <c r="A3" s="9">
        <v>2</v>
      </c>
      <c r="B3" s="4" t="s">
        <v>47</v>
      </c>
      <c r="C3" s="4" t="s">
        <v>10</v>
      </c>
      <c r="D3" s="4" t="s">
        <v>58</v>
      </c>
      <c r="E3" s="10" t="s">
        <v>57</v>
      </c>
      <c r="F3" s="4">
        <v>54113194</v>
      </c>
      <c r="G3" s="4" t="s">
        <v>59</v>
      </c>
      <c r="H3" s="11">
        <v>46101</v>
      </c>
      <c r="I3" s="12">
        <v>500500</v>
      </c>
      <c r="J3" s="4"/>
      <c r="K3" s="4" t="s">
        <v>60</v>
      </c>
      <c r="L3" s="4" t="s">
        <v>61</v>
      </c>
      <c r="M3" s="4" t="s">
        <v>62</v>
      </c>
      <c r="N3" s="13" t="s">
        <v>63</v>
      </c>
      <c r="O3" s="4" t="s">
        <v>54</v>
      </c>
      <c r="P3" s="4" t="s">
        <v>55</v>
      </c>
      <c r="Q3" s="4" t="s">
        <v>17</v>
      </c>
      <c r="R3" s="4" t="s">
        <v>56</v>
      </c>
      <c r="S3" s="4"/>
      <c r="T3" s="11"/>
      <c r="U3" s="14"/>
    </row>
    <row r="4" spans="1:21" ht="45" hidden="1" customHeight="1">
      <c r="A4" s="9">
        <v>3</v>
      </c>
      <c r="B4" s="4" t="s">
        <v>64</v>
      </c>
      <c r="C4" s="4" t="s">
        <v>7</v>
      </c>
      <c r="D4" s="4" t="s">
        <v>65</v>
      </c>
      <c r="E4" s="10" t="s">
        <v>57</v>
      </c>
      <c r="F4" s="4">
        <v>54153830</v>
      </c>
      <c r="G4" s="4" t="s">
        <v>66</v>
      </c>
      <c r="H4" s="11">
        <v>46101</v>
      </c>
      <c r="I4" s="12">
        <v>12100</v>
      </c>
      <c r="J4" s="4"/>
      <c r="K4" s="4"/>
      <c r="L4" s="4"/>
      <c r="M4" s="4" t="s">
        <v>67</v>
      </c>
      <c r="N4" s="13" t="s">
        <v>68</v>
      </c>
      <c r="O4" s="4" t="s">
        <v>69</v>
      </c>
      <c r="P4" s="4" t="s">
        <v>55</v>
      </c>
      <c r="Q4" s="4" t="s">
        <v>17</v>
      </c>
      <c r="R4" s="4" t="s">
        <v>56</v>
      </c>
      <c r="S4" s="4"/>
      <c r="T4" s="11"/>
      <c r="U4" s="14"/>
    </row>
    <row r="5" spans="1:21" ht="45" customHeight="1">
      <c r="A5" s="9">
        <v>87</v>
      </c>
      <c r="B5" s="4" t="s">
        <v>64</v>
      </c>
      <c r="C5" s="4" t="s">
        <v>8</v>
      </c>
      <c r="D5" s="4" t="s">
        <v>281</v>
      </c>
      <c r="E5" s="10" t="s">
        <v>57</v>
      </c>
      <c r="F5" s="4">
        <v>58709686</v>
      </c>
      <c r="G5" s="4" t="s">
        <v>282</v>
      </c>
      <c r="H5" s="11">
        <v>46162</v>
      </c>
      <c r="I5" s="12">
        <v>1848000</v>
      </c>
      <c r="J5" s="4"/>
      <c r="K5" s="4" t="s">
        <v>283</v>
      </c>
      <c r="L5" s="4"/>
      <c r="M5" s="4" t="s">
        <v>86</v>
      </c>
      <c r="N5" s="13" t="s">
        <v>284</v>
      </c>
      <c r="O5" s="4" t="s">
        <v>88</v>
      </c>
      <c r="P5" s="4" t="s">
        <v>55</v>
      </c>
      <c r="Q5" s="4" t="s">
        <v>17</v>
      </c>
      <c r="R5" s="4" t="s">
        <v>56</v>
      </c>
      <c r="S5" s="4"/>
      <c r="T5" s="11"/>
      <c r="U5" s="13"/>
    </row>
    <row r="6" spans="1:21" ht="45" hidden="1" customHeight="1">
      <c r="A6" s="9">
        <v>5</v>
      </c>
      <c r="B6" s="4" t="s">
        <v>64</v>
      </c>
      <c r="C6" s="4" t="s">
        <v>9</v>
      </c>
      <c r="D6" s="4" t="s">
        <v>76</v>
      </c>
      <c r="E6" s="10" t="s">
        <v>57</v>
      </c>
      <c r="F6" s="4">
        <v>54153834</v>
      </c>
      <c r="G6" s="4" t="s">
        <v>77</v>
      </c>
      <c r="H6" s="11">
        <v>46101</v>
      </c>
      <c r="I6" s="12">
        <v>12100</v>
      </c>
      <c r="J6" s="4"/>
      <c r="K6" s="4"/>
      <c r="L6" s="4"/>
      <c r="M6" s="4" t="s">
        <v>78</v>
      </c>
      <c r="N6" s="13" t="s">
        <v>79</v>
      </c>
      <c r="O6" s="4" t="s">
        <v>69</v>
      </c>
      <c r="P6" s="4" t="s">
        <v>55</v>
      </c>
      <c r="Q6" s="4" t="s">
        <v>17</v>
      </c>
      <c r="R6" s="4" t="s">
        <v>56</v>
      </c>
      <c r="S6" s="4"/>
      <c r="T6" s="11"/>
      <c r="U6" s="14"/>
    </row>
    <row r="7" spans="1:21" ht="45" hidden="1" customHeight="1">
      <c r="A7" s="9">
        <v>6</v>
      </c>
      <c r="B7" s="4" t="s">
        <v>64</v>
      </c>
      <c r="C7" s="4" t="s">
        <v>9</v>
      </c>
      <c r="D7" s="4" t="s">
        <v>80</v>
      </c>
      <c r="E7" s="10" t="s">
        <v>57</v>
      </c>
      <c r="F7" s="4">
        <v>54153835</v>
      </c>
      <c r="G7" s="4" t="s">
        <v>81</v>
      </c>
      <c r="H7" s="11">
        <v>46101</v>
      </c>
      <c r="I7" s="12">
        <v>12100</v>
      </c>
      <c r="J7" s="4"/>
      <c r="K7" s="4"/>
      <c r="L7" s="4"/>
      <c r="M7" s="4" t="s">
        <v>78</v>
      </c>
      <c r="N7" s="13" t="s">
        <v>82</v>
      </c>
      <c r="O7" s="4" t="s">
        <v>69</v>
      </c>
      <c r="P7" s="4" t="s">
        <v>55</v>
      </c>
      <c r="Q7" s="4" t="s">
        <v>17</v>
      </c>
      <c r="R7" s="4" t="s">
        <v>56</v>
      </c>
      <c r="S7" s="4"/>
      <c r="T7" s="11"/>
      <c r="U7" s="14"/>
    </row>
    <row r="8" spans="1:21" ht="45" customHeight="1">
      <c r="A8" s="9">
        <v>128</v>
      </c>
      <c r="B8" s="4" t="s">
        <v>64</v>
      </c>
      <c r="C8" s="4" t="s">
        <v>8</v>
      </c>
      <c r="D8" s="4" t="s">
        <v>409</v>
      </c>
      <c r="E8" s="10" t="s">
        <v>57</v>
      </c>
      <c r="F8" s="4">
        <v>60906771</v>
      </c>
      <c r="G8" s="4" t="s">
        <v>410</v>
      </c>
      <c r="H8" s="11">
        <v>46193</v>
      </c>
      <c r="I8" s="12">
        <v>924000</v>
      </c>
      <c r="J8" s="4"/>
      <c r="K8" s="4" t="s">
        <v>411</v>
      </c>
      <c r="L8" s="4"/>
      <c r="M8" s="4" t="s">
        <v>86</v>
      </c>
      <c r="N8" s="13" t="s">
        <v>284</v>
      </c>
      <c r="O8" s="4" t="s">
        <v>88</v>
      </c>
      <c r="P8" s="4" t="s">
        <v>55</v>
      </c>
      <c r="Q8" s="4" t="s">
        <v>17</v>
      </c>
      <c r="R8" s="4" t="s">
        <v>56</v>
      </c>
      <c r="S8" s="4"/>
      <c r="T8" s="11"/>
      <c r="U8" s="13"/>
    </row>
    <row r="9" spans="1:21" ht="45" customHeight="1">
      <c r="A9" s="9">
        <v>132</v>
      </c>
      <c r="B9" s="4" t="s">
        <v>64</v>
      </c>
      <c r="C9" s="4" t="s">
        <v>8</v>
      </c>
      <c r="D9" s="4" t="s">
        <v>421</v>
      </c>
      <c r="E9" s="10" t="s">
        <v>57</v>
      </c>
      <c r="F9" s="4">
        <v>60952602</v>
      </c>
      <c r="G9" s="4" t="s">
        <v>422</v>
      </c>
      <c r="H9" s="11">
        <v>46193</v>
      </c>
      <c r="I9" s="12">
        <v>1108800</v>
      </c>
      <c r="J9" s="4"/>
      <c r="K9" s="4" t="s">
        <v>423</v>
      </c>
      <c r="L9" s="4"/>
      <c r="M9" s="4" t="s">
        <v>86</v>
      </c>
      <c r="N9" s="13" t="s">
        <v>284</v>
      </c>
      <c r="O9" s="4" t="s">
        <v>88</v>
      </c>
      <c r="P9" s="4" t="s">
        <v>55</v>
      </c>
      <c r="Q9" s="4" t="s">
        <v>17</v>
      </c>
      <c r="R9" s="4" t="s">
        <v>56</v>
      </c>
      <c r="S9" s="4"/>
      <c r="T9" s="11"/>
      <c r="U9" s="14"/>
    </row>
    <row r="10" spans="1:21" ht="45" hidden="1" customHeight="1">
      <c r="A10" s="9">
        <v>9</v>
      </c>
      <c r="B10" s="4" t="s">
        <v>64</v>
      </c>
      <c r="C10" s="4" t="s">
        <v>9</v>
      </c>
      <c r="D10" s="4" t="s">
        <v>92</v>
      </c>
      <c r="E10" s="10" t="s">
        <v>57</v>
      </c>
      <c r="F10" s="4">
        <v>54153839</v>
      </c>
      <c r="G10" s="4" t="s">
        <v>93</v>
      </c>
      <c r="H10" s="11">
        <v>46101</v>
      </c>
      <c r="I10" s="12">
        <v>12100</v>
      </c>
      <c r="J10" s="4"/>
      <c r="K10" s="4"/>
      <c r="L10" s="4"/>
      <c r="M10" s="4" t="s">
        <v>78</v>
      </c>
      <c r="N10" s="13" t="s">
        <v>94</v>
      </c>
      <c r="O10" s="4" t="s">
        <v>69</v>
      </c>
      <c r="P10" s="4" t="s">
        <v>55</v>
      </c>
      <c r="Q10" s="4" t="s">
        <v>17</v>
      </c>
      <c r="R10" s="4" t="s">
        <v>56</v>
      </c>
      <c r="S10" s="4"/>
      <c r="T10" s="11"/>
      <c r="U10" s="14"/>
    </row>
    <row r="11" spans="1:21" ht="45" customHeight="1">
      <c r="A11" s="9">
        <v>142</v>
      </c>
      <c r="B11" s="4" t="s">
        <v>64</v>
      </c>
      <c r="C11" s="4" t="s">
        <v>8</v>
      </c>
      <c r="D11" s="4" t="s">
        <v>450</v>
      </c>
      <c r="E11" s="10" t="s">
        <v>57</v>
      </c>
      <c r="F11" s="4">
        <v>62334543</v>
      </c>
      <c r="G11" s="4" t="s">
        <v>410</v>
      </c>
      <c r="H11" s="11">
        <v>46206</v>
      </c>
      <c r="I11" s="12">
        <v>72630</v>
      </c>
      <c r="J11" s="4"/>
      <c r="K11" s="4" t="s">
        <v>411</v>
      </c>
      <c r="L11" s="4"/>
      <c r="M11" s="4" t="s">
        <v>86</v>
      </c>
      <c r="N11" s="13" t="s">
        <v>451</v>
      </c>
      <c r="O11" s="4" t="s">
        <v>88</v>
      </c>
      <c r="P11" s="4" t="s">
        <v>55</v>
      </c>
      <c r="Q11" s="4" t="s">
        <v>17</v>
      </c>
      <c r="R11" s="4" t="s">
        <v>56</v>
      </c>
      <c r="S11" s="4"/>
      <c r="T11" s="11"/>
      <c r="U11" s="13"/>
    </row>
    <row r="12" spans="1:21" ht="45" hidden="1" customHeight="1">
      <c r="A12" s="9">
        <v>11</v>
      </c>
      <c r="B12" s="4" t="s">
        <v>64</v>
      </c>
      <c r="C12" s="4" t="s">
        <v>7</v>
      </c>
      <c r="D12" s="4" t="s">
        <v>98</v>
      </c>
      <c r="E12" s="10" t="s">
        <v>57</v>
      </c>
      <c r="F12" s="4">
        <v>54153843</v>
      </c>
      <c r="G12" s="4" t="s">
        <v>99</v>
      </c>
      <c r="H12" s="11">
        <v>46101</v>
      </c>
      <c r="I12" s="12">
        <v>8800</v>
      </c>
      <c r="J12" s="4"/>
      <c r="K12" s="4"/>
      <c r="L12" s="4"/>
      <c r="M12" s="4" t="s">
        <v>67</v>
      </c>
      <c r="N12" s="13" t="s">
        <v>100</v>
      </c>
      <c r="O12" s="4" t="s">
        <v>69</v>
      </c>
      <c r="P12" s="4" t="s">
        <v>55</v>
      </c>
      <c r="Q12" s="4" t="s">
        <v>17</v>
      </c>
      <c r="R12" s="4" t="s">
        <v>56</v>
      </c>
      <c r="S12" s="4"/>
      <c r="T12" s="11"/>
      <c r="U12" s="14"/>
    </row>
    <row r="13" spans="1:21" ht="45" hidden="1" customHeight="1">
      <c r="A13" s="9">
        <v>12</v>
      </c>
      <c r="B13" s="4" t="s">
        <v>64</v>
      </c>
      <c r="C13" s="4" t="s">
        <v>7</v>
      </c>
      <c r="D13" s="4" t="s">
        <v>101</v>
      </c>
      <c r="E13" s="10" t="s">
        <v>57</v>
      </c>
      <c r="F13" s="4">
        <v>54153844</v>
      </c>
      <c r="G13" s="4" t="s">
        <v>102</v>
      </c>
      <c r="H13" s="11">
        <v>46101</v>
      </c>
      <c r="I13" s="12">
        <v>12100</v>
      </c>
      <c r="J13" s="4"/>
      <c r="K13" s="4"/>
      <c r="L13" s="4"/>
      <c r="M13" s="4" t="s">
        <v>67</v>
      </c>
      <c r="N13" s="13" t="s">
        <v>103</v>
      </c>
      <c r="O13" s="4" t="s">
        <v>69</v>
      </c>
      <c r="P13" s="4" t="s">
        <v>55</v>
      </c>
      <c r="Q13" s="4" t="s">
        <v>17</v>
      </c>
      <c r="R13" s="4" t="s">
        <v>56</v>
      </c>
      <c r="S13" s="4"/>
      <c r="T13" s="11"/>
      <c r="U13" s="14"/>
    </row>
    <row r="14" spans="1:21" ht="45" hidden="1" customHeight="1">
      <c r="A14" s="9">
        <v>13</v>
      </c>
      <c r="B14" s="4" t="s">
        <v>64</v>
      </c>
      <c r="C14" s="4" t="s">
        <v>7</v>
      </c>
      <c r="D14" s="4" t="s">
        <v>104</v>
      </c>
      <c r="E14" s="10" t="s">
        <v>57</v>
      </c>
      <c r="F14" s="4">
        <v>54153845</v>
      </c>
      <c r="G14" s="4" t="s">
        <v>105</v>
      </c>
      <c r="H14" s="11">
        <v>46101</v>
      </c>
      <c r="I14" s="12">
        <v>48400</v>
      </c>
      <c r="J14" s="4"/>
      <c r="K14" s="4"/>
      <c r="L14" s="4"/>
      <c r="M14" s="4" t="s">
        <v>67</v>
      </c>
      <c r="N14" s="13" t="s">
        <v>106</v>
      </c>
      <c r="O14" s="4" t="s">
        <v>69</v>
      </c>
      <c r="P14" s="4" t="s">
        <v>55</v>
      </c>
      <c r="Q14" s="4" t="s">
        <v>17</v>
      </c>
      <c r="R14" s="4" t="s">
        <v>56</v>
      </c>
      <c r="S14" s="4"/>
      <c r="T14" s="11"/>
      <c r="U14" s="14"/>
    </row>
    <row r="15" spans="1:21" ht="45" hidden="1" customHeight="1">
      <c r="A15" s="9">
        <v>14</v>
      </c>
      <c r="B15" s="4" t="s">
        <v>64</v>
      </c>
      <c r="C15" s="4" t="s">
        <v>7</v>
      </c>
      <c r="D15" s="4" t="s">
        <v>107</v>
      </c>
      <c r="E15" s="10" t="s">
        <v>57</v>
      </c>
      <c r="F15" s="4">
        <v>54153846</v>
      </c>
      <c r="G15" s="4" t="s">
        <v>108</v>
      </c>
      <c r="H15" s="11">
        <v>46101</v>
      </c>
      <c r="I15" s="12">
        <v>8800</v>
      </c>
      <c r="J15" s="4"/>
      <c r="K15" s="4"/>
      <c r="L15" s="4"/>
      <c r="M15" s="4" t="s">
        <v>67</v>
      </c>
      <c r="N15" s="13" t="s">
        <v>109</v>
      </c>
      <c r="O15" s="4" t="s">
        <v>69</v>
      </c>
      <c r="P15" s="4" t="s">
        <v>55</v>
      </c>
      <c r="Q15" s="4" t="s">
        <v>17</v>
      </c>
      <c r="R15" s="4" t="s">
        <v>56</v>
      </c>
      <c r="S15" s="4"/>
      <c r="T15" s="11"/>
      <c r="U15" s="14"/>
    </row>
    <row r="16" spans="1:21" ht="45" hidden="1" customHeight="1">
      <c r="A16" s="9">
        <v>15</v>
      </c>
      <c r="B16" s="4" t="s">
        <v>64</v>
      </c>
      <c r="C16" s="4" t="s">
        <v>7</v>
      </c>
      <c r="D16" s="4" t="s">
        <v>110</v>
      </c>
      <c r="E16" s="10" t="s">
        <v>57</v>
      </c>
      <c r="F16" s="4">
        <v>54153848</v>
      </c>
      <c r="G16" s="4" t="s">
        <v>111</v>
      </c>
      <c r="H16" s="11">
        <v>46101</v>
      </c>
      <c r="I16" s="12">
        <v>60500</v>
      </c>
      <c r="J16" s="4"/>
      <c r="K16" s="4"/>
      <c r="L16" s="4"/>
      <c r="M16" s="4" t="s">
        <v>67</v>
      </c>
      <c r="N16" s="13" t="s">
        <v>112</v>
      </c>
      <c r="O16" s="4" t="s">
        <v>69</v>
      </c>
      <c r="P16" s="4" t="s">
        <v>55</v>
      </c>
      <c r="Q16" s="4" t="s">
        <v>17</v>
      </c>
      <c r="R16" s="4" t="s">
        <v>56</v>
      </c>
      <c r="S16" s="4"/>
      <c r="T16" s="11"/>
      <c r="U16" s="14"/>
    </row>
    <row r="17" spans="1:21" ht="45" hidden="1" customHeight="1">
      <c r="A17" s="9">
        <v>16</v>
      </c>
      <c r="B17" s="4" t="s">
        <v>64</v>
      </c>
      <c r="C17" s="4" t="s">
        <v>7</v>
      </c>
      <c r="D17" s="4" t="s">
        <v>113</v>
      </c>
      <c r="E17" s="10" t="s">
        <v>57</v>
      </c>
      <c r="F17" s="4">
        <v>54248066</v>
      </c>
      <c r="G17" s="4" t="s">
        <v>114</v>
      </c>
      <c r="H17" s="11">
        <v>46101</v>
      </c>
      <c r="I17" s="12">
        <v>82500</v>
      </c>
      <c r="J17" s="4"/>
      <c r="K17" s="4"/>
      <c r="L17" s="4"/>
      <c r="M17" s="4" t="s">
        <v>67</v>
      </c>
      <c r="N17" s="13" t="s">
        <v>115</v>
      </c>
      <c r="O17" s="4" t="s">
        <v>69</v>
      </c>
      <c r="P17" s="4" t="s">
        <v>55</v>
      </c>
      <c r="Q17" s="4" t="s">
        <v>17</v>
      </c>
      <c r="R17" s="4" t="s">
        <v>56</v>
      </c>
      <c r="S17" s="4"/>
      <c r="T17" s="11"/>
      <c r="U17" s="14"/>
    </row>
    <row r="18" spans="1:21" ht="45" hidden="1" customHeight="1">
      <c r="A18" s="9">
        <v>17</v>
      </c>
      <c r="B18" s="4" t="s">
        <v>64</v>
      </c>
      <c r="C18" s="4" t="s">
        <v>9</v>
      </c>
      <c r="D18" s="4" t="s">
        <v>116</v>
      </c>
      <c r="E18" s="10" t="s">
        <v>57</v>
      </c>
      <c r="F18" s="4">
        <v>54249842</v>
      </c>
      <c r="G18" s="4" t="s">
        <v>117</v>
      </c>
      <c r="H18" s="11">
        <v>46101</v>
      </c>
      <c r="I18" s="12">
        <v>1056000</v>
      </c>
      <c r="J18" s="4"/>
      <c r="K18" s="4"/>
      <c r="L18" s="4"/>
      <c r="M18" s="4" t="s">
        <v>118</v>
      </c>
      <c r="N18" s="13" t="s">
        <v>119</v>
      </c>
      <c r="O18" s="4" t="s">
        <v>69</v>
      </c>
      <c r="P18" s="4" t="s">
        <v>55</v>
      </c>
      <c r="Q18" s="4" t="s">
        <v>17</v>
      </c>
      <c r="R18" s="4" t="s">
        <v>56</v>
      </c>
      <c r="S18" s="4"/>
      <c r="T18" s="11"/>
      <c r="U18" s="14"/>
    </row>
    <row r="19" spans="1:21" ht="45" hidden="1" customHeight="1">
      <c r="A19" s="9">
        <v>18</v>
      </c>
      <c r="B19" s="4" t="s">
        <v>64</v>
      </c>
      <c r="C19" s="4" t="s">
        <v>7</v>
      </c>
      <c r="D19" s="4" t="s">
        <v>120</v>
      </c>
      <c r="E19" s="10" t="s">
        <v>57</v>
      </c>
      <c r="F19" s="4">
        <v>54153857</v>
      </c>
      <c r="G19" s="4" t="s">
        <v>121</v>
      </c>
      <c r="H19" s="11">
        <v>46101</v>
      </c>
      <c r="I19" s="12">
        <v>8800</v>
      </c>
      <c r="J19" s="4"/>
      <c r="K19" s="4"/>
      <c r="L19" s="4"/>
      <c r="M19" s="4" t="s">
        <v>67</v>
      </c>
      <c r="N19" s="13" t="s">
        <v>122</v>
      </c>
      <c r="O19" s="4" t="s">
        <v>69</v>
      </c>
      <c r="P19" s="4" t="s">
        <v>55</v>
      </c>
      <c r="Q19" s="4" t="s">
        <v>17</v>
      </c>
      <c r="R19" s="4" t="s">
        <v>56</v>
      </c>
      <c r="S19" s="4"/>
      <c r="T19" s="11"/>
      <c r="U19" s="14"/>
    </row>
    <row r="20" spans="1:21" ht="45" hidden="1" customHeight="1">
      <c r="A20" s="9">
        <v>19</v>
      </c>
      <c r="B20" s="4" t="s">
        <v>64</v>
      </c>
      <c r="C20" s="4" t="s">
        <v>7</v>
      </c>
      <c r="D20" s="4" t="s">
        <v>123</v>
      </c>
      <c r="E20" s="10" t="s">
        <v>57</v>
      </c>
      <c r="F20" s="4">
        <v>54153860</v>
      </c>
      <c r="G20" s="4" t="s">
        <v>124</v>
      </c>
      <c r="H20" s="11">
        <v>46101</v>
      </c>
      <c r="I20" s="12">
        <v>8800</v>
      </c>
      <c r="J20" s="4"/>
      <c r="K20" s="4"/>
      <c r="L20" s="4"/>
      <c r="M20" s="4" t="s">
        <v>67</v>
      </c>
      <c r="N20" s="13" t="s">
        <v>125</v>
      </c>
      <c r="O20" s="4" t="s">
        <v>69</v>
      </c>
      <c r="P20" s="4" t="s">
        <v>55</v>
      </c>
      <c r="Q20" s="4" t="s">
        <v>17</v>
      </c>
      <c r="R20" s="4" t="s">
        <v>56</v>
      </c>
      <c r="S20" s="4"/>
      <c r="T20" s="11"/>
      <c r="U20" s="14"/>
    </row>
    <row r="21" spans="1:21" ht="45" hidden="1" customHeight="1">
      <c r="A21" s="9">
        <v>20</v>
      </c>
      <c r="B21" s="4" t="s">
        <v>64</v>
      </c>
      <c r="C21" s="4" t="s">
        <v>9</v>
      </c>
      <c r="D21" s="4" t="s">
        <v>126</v>
      </c>
      <c r="E21" s="10" t="s">
        <v>57</v>
      </c>
      <c r="F21" s="4">
        <v>54153861</v>
      </c>
      <c r="G21" s="4" t="s">
        <v>127</v>
      </c>
      <c r="H21" s="11">
        <v>46101</v>
      </c>
      <c r="I21" s="12">
        <v>108900</v>
      </c>
      <c r="J21" s="4"/>
      <c r="K21" s="4"/>
      <c r="L21" s="4"/>
      <c r="M21" s="4" t="s">
        <v>78</v>
      </c>
      <c r="N21" s="13" t="s">
        <v>128</v>
      </c>
      <c r="O21" s="4" t="s">
        <v>69</v>
      </c>
      <c r="P21" s="4" t="s">
        <v>55</v>
      </c>
      <c r="Q21" s="4" t="s">
        <v>17</v>
      </c>
      <c r="R21" s="4" t="s">
        <v>56</v>
      </c>
      <c r="S21" s="4"/>
      <c r="T21" s="11"/>
      <c r="U21" s="14"/>
    </row>
    <row r="22" spans="1:21" ht="45" customHeight="1">
      <c r="A22" s="9">
        <v>47</v>
      </c>
      <c r="B22" s="4" t="s">
        <v>64</v>
      </c>
      <c r="C22" s="4" t="s">
        <v>8</v>
      </c>
      <c r="D22" s="4" t="s">
        <v>189</v>
      </c>
      <c r="E22" s="10" t="s">
        <v>57</v>
      </c>
      <c r="F22" s="4">
        <v>56676178</v>
      </c>
      <c r="G22" s="4" t="s">
        <v>190</v>
      </c>
      <c r="H22" s="11">
        <v>46132</v>
      </c>
      <c r="I22" s="12">
        <v>105600</v>
      </c>
      <c r="J22" s="4"/>
      <c r="K22" s="4" t="s">
        <v>191</v>
      </c>
      <c r="L22" s="4"/>
      <c r="M22" s="4" t="s">
        <v>86</v>
      </c>
      <c r="N22" s="13" t="s">
        <v>192</v>
      </c>
      <c r="O22" s="4" t="s">
        <v>88</v>
      </c>
      <c r="P22" s="4" t="s">
        <v>55</v>
      </c>
      <c r="Q22" s="4" t="s">
        <v>17</v>
      </c>
      <c r="R22" s="4" t="s">
        <v>56</v>
      </c>
      <c r="S22" s="4"/>
      <c r="T22" s="11"/>
      <c r="U22" s="14"/>
    </row>
    <row r="23" spans="1:21" ht="45" customHeight="1">
      <c r="A23" s="9">
        <v>90</v>
      </c>
      <c r="B23" s="4" t="s">
        <v>64</v>
      </c>
      <c r="C23" s="4" t="s">
        <v>8</v>
      </c>
      <c r="D23" s="4" t="s">
        <v>289</v>
      </c>
      <c r="E23" s="10" t="s">
        <v>57</v>
      </c>
      <c r="F23" s="4">
        <v>58712318</v>
      </c>
      <c r="G23" s="4" t="s">
        <v>290</v>
      </c>
      <c r="H23" s="11">
        <v>46162</v>
      </c>
      <c r="I23" s="12">
        <v>105600</v>
      </c>
      <c r="J23" s="4"/>
      <c r="K23" s="4" t="s">
        <v>291</v>
      </c>
      <c r="L23" s="4"/>
      <c r="M23" s="4" t="s">
        <v>86</v>
      </c>
      <c r="N23" s="13" t="s">
        <v>292</v>
      </c>
      <c r="O23" s="4" t="s">
        <v>88</v>
      </c>
      <c r="P23" s="4" t="s">
        <v>55</v>
      </c>
      <c r="Q23" s="4" t="s">
        <v>17</v>
      </c>
      <c r="R23" s="4" t="s">
        <v>56</v>
      </c>
      <c r="S23" s="4"/>
      <c r="T23" s="11"/>
      <c r="U23" s="13"/>
    </row>
    <row r="24" spans="1:21" ht="45" hidden="1" customHeight="1">
      <c r="A24" s="9">
        <v>23</v>
      </c>
      <c r="B24" s="4" t="s">
        <v>64</v>
      </c>
      <c r="C24" s="4" t="s">
        <v>7</v>
      </c>
      <c r="D24" s="4" t="s">
        <v>137</v>
      </c>
      <c r="E24" s="10" t="s">
        <v>57</v>
      </c>
      <c r="F24" s="4">
        <v>54153872</v>
      </c>
      <c r="G24" s="4" t="s">
        <v>138</v>
      </c>
      <c r="H24" s="11">
        <v>46101</v>
      </c>
      <c r="I24" s="12">
        <v>8800</v>
      </c>
      <c r="J24" s="4"/>
      <c r="K24" s="4"/>
      <c r="L24" s="4"/>
      <c r="M24" s="4" t="s">
        <v>67</v>
      </c>
      <c r="N24" s="13" t="s">
        <v>139</v>
      </c>
      <c r="O24" s="4" t="s">
        <v>69</v>
      </c>
      <c r="P24" s="4" t="s">
        <v>55</v>
      </c>
      <c r="Q24" s="4" t="s">
        <v>17</v>
      </c>
      <c r="R24" s="4" t="s">
        <v>56</v>
      </c>
      <c r="S24" s="4"/>
      <c r="T24" s="11"/>
      <c r="U24" s="13" t="s">
        <v>74</v>
      </c>
    </row>
    <row r="25" spans="1:21" ht="45" hidden="1" customHeight="1">
      <c r="A25" s="9">
        <v>24</v>
      </c>
      <c r="B25" s="4" t="s">
        <v>64</v>
      </c>
      <c r="C25" s="4" t="s">
        <v>7</v>
      </c>
      <c r="D25" s="4" t="s">
        <v>140</v>
      </c>
      <c r="E25" s="10" t="s">
        <v>57</v>
      </c>
      <c r="F25" s="4">
        <v>54153877</v>
      </c>
      <c r="G25" s="4" t="s">
        <v>141</v>
      </c>
      <c r="H25" s="11">
        <v>46101</v>
      </c>
      <c r="I25" s="12">
        <v>8800</v>
      </c>
      <c r="J25" s="4"/>
      <c r="K25" s="4"/>
      <c r="L25" s="4"/>
      <c r="M25" s="4" t="s">
        <v>67</v>
      </c>
      <c r="N25" s="13" t="s">
        <v>142</v>
      </c>
      <c r="O25" s="4" t="s">
        <v>69</v>
      </c>
      <c r="P25" s="4" t="s">
        <v>55</v>
      </c>
      <c r="Q25" s="4" t="s">
        <v>17</v>
      </c>
      <c r="R25" s="4" t="s">
        <v>56</v>
      </c>
      <c r="S25" s="4"/>
      <c r="T25" s="11"/>
      <c r="U25" s="14"/>
    </row>
    <row r="26" spans="1:21" ht="45" hidden="1" customHeight="1">
      <c r="A26" s="9">
        <v>25</v>
      </c>
      <c r="B26" s="4" t="s">
        <v>64</v>
      </c>
      <c r="C26" s="4" t="s">
        <v>9</v>
      </c>
      <c r="D26" s="4" t="s">
        <v>143</v>
      </c>
      <c r="E26" s="10" t="s">
        <v>57</v>
      </c>
      <c r="F26" s="4">
        <v>54153879</v>
      </c>
      <c r="G26" s="4" t="s">
        <v>144</v>
      </c>
      <c r="H26" s="11">
        <v>46101</v>
      </c>
      <c r="I26" s="12">
        <v>123200</v>
      </c>
      <c r="J26" s="4"/>
      <c r="K26" s="4"/>
      <c r="L26" s="4"/>
      <c r="M26" s="4" t="s">
        <v>118</v>
      </c>
      <c r="N26" s="13" t="s">
        <v>145</v>
      </c>
      <c r="O26" s="4" t="s">
        <v>69</v>
      </c>
      <c r="P26" s="4" t="s">
        <v>55</v>
      </c>
      <c r="Q26" s="4" t="s">
        <v>17</v>
      </c>
      <c r="R26" s="4" t="s">
        <v>56</v>
      </c>
      <c r="S26" s="4"/>
      <c r="T26" s="11"/>
      <c r="U26" s="14"/>
    </row>
    <row r="27" spans="1:21" ht="45" hidden="1" customHeight="1">
      <c r="A27" s="9">
        <v>26</v>
      </c>
      <c r="B27" s="4" t="s">
        <v>64</v>
      </c>
      <c r="C27" s="4" t="s">
        <v>7</v>
      </c>
      <c r="D27" s="4" t="s">
        <v>146</v>
      </c>
      <c r="E27" s="10" t="s">
        <v>57</v>
      </c>
      <c r="F27" s="4">
        <v>54246103</v>
      </c>
      <c r="G27" s="4" t="s">
        <v>147</v>
      </c>
      <c r="H27" s="11">
        <v>46101</v>
      </c>
      <c r="I27" s="12">
        <v>84700</v>
      </c>
      <c r="J27" s="4"/>
      <c r="K27" s="4"/>
      <c r="L27" s="4"/>
      <c r="M27" s="4" t="s">
        <v>67</v>
      </c>
      <c r="N27" s="13" t="s">
        <v>148</v>
      </c>
      <c r="O27" s="4" t="s">
        <v>69</v>
      </c>
      <c r="P27" s="4" t="s">
        <v>55</v>
      </c>
      <c r="Q27" s="4" t="s">
        <v>17</v>
      </c>
      <c r="R27" s="4" t="s">
        <v>56</v>
      </c>
      <c r="S27" s="4"/>
      <c r="T27" s="11"/>
      <c r="U27" s="14"/>
    </row>
    <row r="28" spans="1:21" ht="45" hidden="1" customHeight="1">
      <c r="A28" s="9">
        <v>27</v>
      </c>
      <c r="B28" s="4" t="s">
        <v>64</v>
      </c>
      <c r="C28" s="4" t="s">
        <v>7</v>
      </c>
      <c r="D28" s="4" t="s">
        <v>149</v>
      </c>
      <c r="E28" s="10" t="s">
        <v>57</v>
      </c>
      <c r="F28" s="4">
        <v>54246260</v>
      </c>
      <c r="G28" s="4" t="s">
        <v>150</v>
      </c>
      <c r="H28" s="11">
        <v>46101</v>
      </c>
      <c r="I28" s="12">
        <v>17600</v>
      </c>
      <c r="J28" s="4"/>
      <c r="K28" s="4"/>
      <c r="L28" s="4"/>
      <c r="M28" s="4" t="s">
        <v>67</v>
      </c>
      <c r="N28" s="13" t="s">
        <v>151</v>
      </c>
      <c r="O28" s="4" t="s">
        <v>69</v>
      </c>
      <c r="P28" s="4" t="s">
        <v>55</v>
      </c>
      <c r="Q28" s="4" t="s">
        <v>17</v>
      </c>
      <c r="R28" s="4" t="s">
        <v>56</v>
      </c>
      <c r="S28" s="4"/>
      <c r="T28" s="11"/>
      <c r="U28" s="14"/>
    </row>
    <row r="29" spans="1:21" ht="45" hidden="1" customHeight="1">
      <c r="A29" s="9">
        <v>28</v>
      </c>
      <c r="B29" s="4" t="s">
        <v>47</v>
      </c>
      <c r="C29" s="4" t="s">
        <v>11</v>
      </c>
      <c r="D29" s="4" t="s">
        <v>152</v>
      </c>
      <c r="E29" s="10" t="s">
        <v>57</v>
      </c>
      <c r="F29" s="4">
        <v>54891605</v>
      </c>
      <c r="G29" s="4" t="s">
        <v>141</v>
      </c>
      <c r="H29" s="11">
        <v>46108</v>
      </c>
      <c r="I29" s="12">
        <v>176000</v>
      </c>
      <c r="J29" s="4"/>
      <c r="K29" s="4" t="s">
        <v>153</v>
      </c>
      <c r="L29" s="4" t="s">
        <v>154</v>
      </c>
      <c r="M29" s="4" t="s">
        <v>52</v>
      </c>
      <c r="N29" s="13" t="s">
        <v>155</v>
      </c>
      <c r="O29" s="4" t="s">
        <v>54</v>
      </c>
      <c r="P29" s="4" t="s">
        <v>55</v>
      </c>
      <c r="Q29" s="4" t="s">
        <v>17</v>
      </c>
      <c r="R29" s="4" t="s">
        <v>56</v>
      </c>
      <c r="S29" s="4"/>
      <c r="T29" s="11"/>
      <c r="U29" s="14"/>
    </row>
    <row r="30" spans="1:21" ht="45" customHeight="1">
      <c r="A30" s="9">
        <v>135</v>
      </c>
      <c r="B30" s="4" t="s">
        <v>64</v>
      </c>
      <c r="C30" s="4" t="s">
        <v>8</v>
      </c>
      <c r="D30" s="4" t="s">
        <v>430</v>
      </c>
      <c r="E30" s="10" t="s">
        <v>57</v>
      </c>
      <c r="F30" s="4">
        <v>60953721</v>
      </c>
      <c r="G30" s="4" t="s">
        <v>431</v>
      </c>
      <c r="H30" s="11">
        <v>46193</v>
      </c>
      <c r="I30" s="12">
        <v>52800</v>
      </c>
      <c r="J30" s="4"/>
      <c r="K30" s="4" t="s">
        <v>432</v>
      </c>
      <c r="L30" s="4"/>
      <c r="M30" s="4" t="s">
        <v>86</v>
      </c>
      <c r="N30" s="13" t="s">
        <v>433</v>
      </c>
      <c r="O30" s="4" t="s">
        <v>88</v>
      </c>
      <c r="P30" s="4" t="s">
        <v>55</v>
      </c>
      <c r="Q30" s="4" t="s">
        <v>17</v>
      </c>
      <c r="R30" s="4" t="s">
        <v>56</v>
      </c>
      <c r="S30" s="4"/>
      <c r="T30" s="11"/>
      <c r="U30" s="13"/>
    </row>
    <row r="31" spans="1:21" ht="45" hidden="1" customHeight="1">
      <c r="A31" s="9">
        <v>30</v>
      </c>
      <c r="B31" s="4" t="s">
        <v>64</v>
      </c>
      <c r="C31" s="4" t="s">
        <v>9</v>
      </c>
      <c r="D31" s="4" t="s">
        <v>157</v>
      </c>
      <c r="E31" s="10" t="s">
        <v>57</v>
      </c>
      <c r="F31" s="4">
        <v>56527531</v>
      </c>
      <c r="G31" s="4" t="s">
        <v>77</v>
      </c>
      <c r="H31" s="11">
        <v>46132</v>
      </c>
      <c r="I31" s="12">
        <v>12100</v>
      </c>
      <c r="J31" s="4"/>
      <c r="K31" s="4"/>
      <c r="L31" s="4"/>
      <c r="M31" s="4" t="s">
        <v>78</v>
      </c>
      <c r="N31" s="13" t="s">
        <v>158</v>
      </c>
      <c r="O31" s="4" t="s">
        <v>69</v>
      </c>
      <c r="P31" s="4" t="s">
        <v>55</v>
      </c>
      <c r="Q31" s="4" t="s">
        <v>17</v>
      </c>
      <c r="R31" s="4" t="s">
        <v>56</v>
      </c>
      <c r="S31" s="4"/>
      <c r="T31" s="11"/>
      <c r="U31" s="14"/>
    </row>
    <row r="32" spans="1:21" ht="45" customHeight="1">
      <c r="A32" s="9">
        <v>154</v>
      </c>
      <c r="B32" s="4" t="s">
        <v>64</v>
      </c>
      <c r="C32" s="4" t="s">
        <v>8</v>
      </c>
      <c r="D32" s="4" t="s">
        <v>481</v>
      </c>
      <c r="E32" s="10" t="s">
        <v>57</v>
      </c>
      <c r="F32" s="4">
        <v>63077995</v>
      </c>
      <c r="G32" s="4" t="s">
        <v>431</v>
      </c>
      <c r="H32" s="11">
        <v>46223</v>
      </c>
      <c r="I32" s="12">
        <v>52800</v>
      </c>
      <c r="J32" s="4"/>
      <c r="K32" s="4" t="s">
        <v>432</v>
      </c>
      <c r="L32" s="4"/>
      <c r="M32" s="4" t="s">
        <v>86</v>
      </c>
      <c r="N32" s="13" t="s">
        <v>433</v>
      </c>
      <c r="O32" s="4" t="s">
        <v>88</v>
      </c>
      <c r="P32" s="4" t="s">
        <v>55</v>
      </c>
      <c r="Q32" s="4" t="s">
        <v>17</v>
      </c>
      <c r="R32" s="4" t="s">
        <v>56</v>
      </c>
      <c r="S32" s="4"/>
      <c r="T32" s="11"/>
      <c r="U32" s="14"/>
    </row>
    <row r="33" spans="1:21" ht="45" customHeight="1">
      <c r="A33" s="9">
        <v>31</v>
      </c>
      <c r="B33" s="4" t="s">
        <v>64</v>
      </c>
      <c r="C33" s="4" t="s">
        <v>8</v>
      </c>
      <c r="D33" s="4" t="s">
        <v>159</v>
      </c>
      <c r="E33" s="10" t="s">
        <v>57</v>
      </c>
      <c r="F33" s="4">
        <v>56527532</v>
      </c>
      <c r="G33" s="4" t="s">
        <v>84</v>
      </c>
      <c r="H33" s="11">
        <v>46132</v>
      </c>
      <c r="I33" s="12">
        <v>175450</v>
      </c>
      <c r="J33" s="4"/>
      <c r="K33" s="4" t="s">
        <v>85</v>
      </c>
      <c r="L33" s="4"/>
      <c r="M33" s="4" t="s">
        <v>86</v>
      </c>
      <c r="N33" s="13" t="s">
        <v>160</v>
      </c>
      <c r="O33" s="4" t="s">
        <v>88</v>
      </c>
      <c r="P33" s="4" t="s">
        <v>55</v>
      </c>
      <c r="Q33" s="4" t="s">
        <v>17</v>
      </c>
      <c r="R33" s="4" t="s">
        <v>56</v>
      </c>
      <c r="S33" s="4"/>
      <c r="T33" s="11"/>
      <c r="U33" s="14" t="s">
        <v>573</v>
      </c>
    </row>
    <row r="34" spans="1:21" ht="45" hidden="1" customHeight="1">
      <c r="A34" s="9">
        <v>33</v>
      </c>
      <c r="B34" s="4" t="s">
        <v>64</v>
      </c>
      <c r="C34" s="4" t="s">
        <v>9</v>
      </c>
      <c r="D34" s="4" t="s">
        <v>162</v>
      </c>
      <c r="E34" s="10" t="s">
        <v>57</v>
      </c>
      <c r="F34" s="4">
        <v>56527536</v>
      </c>
      <c r="G34" s="4" t="s">
        <v>93</v>
      </c>
      <c r="H34" s="11">
        <v>46132</v>
      </c>
      <c r="I34" s="12">
        <v>12100</v>
      </c>
      <c r="J34" s="4"/>
      <c r="K34" s="4"/>
      <c r="L34" s="4"/>
      <c r="M34" s="4" t="s">
        <v>78</v>
      </c>
      <c r="N34" s="13" t="s">
        <v>163</v>
      </c>
      <c r="O34" s="4" t="s">
        <v>69</v>
      </c>
      <c r="P34" s="4" t="s">
        <v>55</v>
      </c>
      <c r="Q34" s="4" t="s">
        <v>17</v>
      </c>
      <c r="R34" s="4" t="s">
        <v>56</v>
      </c>
      <c r="S34" s="4"/>
      <c r="T34" s="11"/>
      <c r="U34" s="14"/>
    </row>
    <row r="35" spans="1:21" ht="45" customHeight="1">
      <c r="A35" s="9">
        <v>68</v>
      </c>
      <c r="B35" s="4" t="s">
        <v>64</v>
      </c>
      <c r="C35" s="4" t="s">
        <v>8</v>
      </c>
      <c r="D35" s="4" t="s">
        <v>247</v>
      </c>
      <c r="E35" s="10" t="s">
        <v>57</v>
      </c>
      <c r="F35" s="4">
        <v>58573616</v>
      </c>
      <c r="G35" s="4" t="s">
        <v>84</v>
      </c>
      <c r="H35" s="11">
        <v>46162</v>
      </c>
      <c r="I35" s="12">
        <v>175450</v>
      </c>
      <c r="J35" s="4"/>
      <c r="K35" s="4" t="s">
        <v>85</v>
      </c>
      <c r="L35" s="4"/>
      <c r="M35" s="4" t="s">
        <v>86</v>
      </c>
      <c r="N35" s="13" t="s">
        <v>160</v>
      </c>
      <c r="O35" s="4" t="s">
        <v>88</v>
      </c>
      <c r="P35" s="4" t="s">
        <v>55</v>
      </c>
      <c r="Q35" s="4" t="s">
        <v>17</v>
      </c>
      <c r="R35" s="4" t="s">
        <v>56</v>
      </c>
      <c r="S35" s="4"/>
      <c r="T35" s="11"/>
      <c r="U35" s="14" t="s">
        <v>573</v>
      </c>
    </row>
    <row r="36" spans="1:21" ht="45" hidden="1" customHeight="1">
      <c r="A36" s="9">
        <v>35</v>
      </c>
      <c r="B36" s="4" t="s">
        <v>64</v>
      </c>
      <c r="C36" s="4" t="s">
        <v>7</v>
      </c>
      <c r="D36" s="4" t="s">
        <v>165</v>
      </c>
      <c r="E36" s="10" t="s">
        <v>57</v>
      </c>
      <c r="F36" s="4">
        <v>56527538</v>
      </c>
      <c r="G36" s="4" t="s">
        <v>99</v>
      </c>
      <c r="H36" s="11">
        <v>46132</v>
      </c>
      <c r="I36" s="12">
        <v>8800</v>
      </c>
      <c r="J36" s="4"/>
      <c r="K36" s="4"/>
      <c r="L36" s="4"/>
      <c r="M36" s="4" t="s">
        <v>67</v>
      </c>
      <c r="N36" s="13" t="s">
        <v>166</v>
      </c>
      <c r="O36" s="4" t="s">
        <v>69</v>
      </c>
      <c r="P36" s="4" t="s">
        <v>55</v>
      </c>
      <c r="Q36" s="4" t="s">
        <v>17</v>
      </c>
      <c r="R36" s="4" t="s">
        <v>56</v>
      </c>
      <c r="S36" s="4"/>
      <c r="T36" s="11"/>
      <c r="U36" s="14"/>
    </row>
    <row r="37" spans="1:21" ht="45" hidden="1" customHeight="1">
      <c r="A37" s="9">
        <v>36</v>
      </c>
      <c r="B37" s="4" t="s">
        <v>64</v>
      </c>
      <c r="C37" s="4" t="s">
        <v>7</v>
      </c>
      <c r="D37" s="4" t="s">
        <v>167</v>
      </c>
      <c r="E37" s="10" t="s">
        <v>57</v>
      </c>
      <c r="F37" s="4">
        <v>56527539</v>
      </c>
      <c r="G37" s="4" t="s">
        <v>102</v>
      </c>
      <c r="H37" s="11">
        <v>46132</v>
      </c>
      <c r="I37" s="12">
        <v>12100</v>
      </c>
      <c r="J37" s="4"/>
      <c r="K37" s="4"/>
      <c r="L37" s="4"/>
      <c r="M37" s="4" t="s">
        <v>67</v>
      </c>
      <c r="N37" s="13" t="s">
        <v>168</v>
      </c>
      <c r="O37" s="4" t="s">
        <v>69</v>
      </c>
      <c r="P37" s="4" t="s">
        <v>55</v>
      </c>
      <c r="Q37" s="4" t="s">
        <v>17</v>
      </c>
      <c r="R37" s="4" t="s">
        <v>56</v>
      </c>
      <c r="S37" s="4"/>
      <c r="T37" s="11"/>
      <c r="U37" s="14"/>
    </row>
    <row r="38" spans="1:21" ht="45" hidden="1" customHeight="1">
      <c r="A38" s="9">
        <v>37</v>
      </c>
      <c r="B38" s="4" t="s">
        <v>64</v>
      </c>
      <c r="C38" s="4" t="s">
        <v>7</v>
      </c>
      <c r="D38" s="4" t="s">
        <v>169</v>
      </c>
      <c r="E38" s="10" t="s">
        <v>57</v>
      </c>
      <c r="F38" s="4">
        <v>56527540</v>
      </c>
      <c r="G38" s="4" t="s">
        <v>105</v>
      </c>
      <c r="H38" s="11">
        <v>46132</v>
      </c>
      <c r="I38" s="12">
        <v>48400</v>
      </c>
      <c r="J38" s="4"/>
      <c r="K38" s="4"/>
      <c r="L38" s="4"/>
      <c r="M38" s="4" t="s">
        <v>67</v>
      </c>
      <c r="N38" s="13" t="s">
        <v>170</v>
      </c>
      <c r="O38" s="4" t="s">
        <v>69</v>
      </c>
      <c r="P38" s="4" t="s">
        <v>55</v>
      </c>
      <c r="Q38" s="4" t="s">
        <v>17</v>
      </c>
      <c r="R38" s="4" t="s">
        <v>56</v>
      </c>
      <c r="S38" s="4"/>
      <c r="T38" s="11"/>
      <c r="U38" s="14"/>
    </row>
    <row r="39" spans="1:21" ht="45" hidden="1" customHeight="1">
      <c r="A39" s="9">
        <v>38</v>
      </c>
      <c r="B39" s="4" t="s">
        <v>64</v>
      </c>
      <c r="C39" s="4" t="s">
        <v>7</v>
      </c>
      <c r="D39" s="4" t="s">
        <v>171</v>
      </c>
      <c r="E39" s="10" t="s">
        <v>57</v>
      </c>
      <c r="F39" s="4">
        <v>56527541</v>
      </c>
      <c r="G39" s="4" t="s">
        <v>108</v>
      </c>
      <c r="H39" s="11">
        <v>46132</v>
      </c>
      <c r="I39" s="12">
        <v>8800</v>
      </c>
      <c r="J39" s="4"/>
      <c r="K39" s="4"/>
      <c r="L39" s="4"/>
      <c r="M39" s="4" t="s">
        <v>67</v>
      </c>
      <c r="N39" s="13" t="s">
        <v>172</v>
      </c>
      <c r="O39" s="4" t="s">
        <v>69</v>
      </c>
      <c r="P39" s="4" t="s">
        <v>55</v>
      </c>
      <c r="Q39" s="4" t="s">
        <v>17</v>
      </c>
      <c r="R39" s="4" t="s">
        <v>56</v>
      </c>
      <c r="S39" s="4"/>
      <c r="T39" s="11"/>
      <c r="U39" s="14"/>
    </row>
    <row r="40" spans="1:21" ht="45" hidden="1" customHeight="1">
      <c r="A40" s="9">
        <v>39</v>
      </c>
      <c r="B40" s="4" t="s">
        <v>64</v>
      </c>
      <c r="C40" s="4" t="s">
        <v>7</v>
      </c>
      <c r="D40" s="4" t="s">
        <v>173</v>
      </c>
      <c r="E40" s="10" t="s">
        <v>57</v>
      </c>
      <c r="F40" s="4">
        <v>56527544</v>
      </c>
      <c r="G40" s="4" t="s">
        <v>111</v>
      </c>
      <c r="H40" s="11">
        <v>46132</v>
      </c>
      <c r="I40" s="12">
        <v>60500</v>
      </c>
      <c r="J40" s="4"/>
      <c r="K40" s="4"/>
      <c r="L40" s="4"/>
      <c r="M40" s="4" t="s">
        <v>67</v>
      </c>
      <c r="N40" s="13" t="s">
        <v>174</v>
      </c>
      <c r="O40" s="4" t="s">
        <v>69</v>
      </c>
      <c r="P40" s="4" t="s">
        <v>55</v>
      </c>
      <c r="Q40" s="4" t="s">
        <v>17</v>
      </c>
      <c r="R40" s="4" t="s">
        <v>56</v>
      </c>
      <c r="S40" s="4"/>
      <c r="T40" s="11"/>
      <c r="U40" s="14"/>
    </row>
    <row r="41" spans="1:21" ht="45" hidden="1" customHeight="1">
      <c r="A41" s="9">
        <v>40</v>
      </c>
      <c r="B41" s="4" t="s">
        <v>64</v>
      </c>
      <c r="C41" s="4" t="s">
        <v>7</v>
      </c>
      <c r="D41" s="4" t="s">
        <v>175</v>
      </c>
      <c r="E41" s="10" t="s">
        <v>57</v>
      </c>
      <c r="F41" s="4">
        <v>56527552</v>
      </c>
      <c r="G41" s="4" t="s">
        <v>121</v>
      </c>
      <c r="H41" s="11">
        <v>46132</v>
      </c>
      <c r="I41" s="12">
        <v>8800</v>
      </c>
      <c r="J41" s="4"/>
      <c r="K41" s="4"/>
      <c r="L41" s="4"/>
      <c r="M41" s="4" t="s">
        <v>67</v>
      </c>
      <c r="N41" s="13" t="s">
        <v>176</v>
      </c>
      <c r="O41" s="4" t="s">
        <v>69</v>
      </c>
      <c r="P41" s="4" t="s">
        <v>55</v>
      </c>
      <c r="Q41" s="4" t="s">
        <v>17</v>
      </c>
      <c r="R41" s="4" t="s">
        <v>56</v>
      </c>
      <c r="S41" s="4"/>
      <c r="T41" s="11"/>
      <c r="U41" s="14"/>
    </row>
    <row r="42" spans="1:21" ht="45" hidden="1" customHeight="1">
      <c r="A42" s="9">
        <v>41</v>
      </c>
      <c r="B42" s="4" t="s">
        <v>64</v>
      </c>
      <c r="C42" s="4" t="s">
        <v>7</v>
      </c>
      <c r="D42" s="4" t="s">
        <v>177</v>
      </c>
      <c r="E42" s="10" t="s">
        <v>57</v>
      </c>
      <c r="F42" s="4">
        <v>56527554</v>
      </c>
      <c r="G42" s="4" t="s">
        <v>124</v>
      </c>
      <c r="H42" s="11">
        <v>46132</v>
      </c>
      <c r="I42" s="12">
        <v>8800</v>
      </c>
      <c r="J42" s="4"/>
      <c r="K42" s="4"/>
      <c r="L42" s="4"/>
      <c r="M42" s="4" t="s">
        <v>67</v>
      </c>
      <c r="N42" s="13" t="s">
        <v>178</v>
      </c>
      <c r="O42" s="4" t="s">
        <v>69</v>
      </c>
      <c r="P42" s="4" t="s">
        <v>55</v>
      </c>
      <c r="Q42" s="4" t="s">
        <v>17</v>
      </c>
      <c r="R42" s="4" t="s">
        <v>56</v>
      </c>
      <c r="S42" s="4"/>
      <c r="T42" s="11"/>
      <c r="U42" s="14"/>
    </row>
    <row r="43" spans="1:21" ht="45" hidden="1" customHeight="1">
      <c r="A43" s="9">
        <v>42</v>
      </c>
      <c r="B43" s="4" t="s">
        <v>64</v>
      </c>
      <c r="C43" s="4" t="s">
        <v>9</v>
      </c>
      <c r="D43" s="4" t="s">
        <v>179</v>
      </c>
      <c r="E43" s="10" t="s">
        <v>57</v>
      </c>
      <c r="F43" s="4">
        <v>56527556</v>
      </c>
      <c r="G43" s="4" t="s">
        <v>127</v>
      </c>
      <c r="H43" s="11">
        <v>46132</v>
      </c>
      <c r="I43" s="12">
        <v>108900</v>
      </c>
      <c r="J43" s="4"/>
      <c r="K43" s="4"/>
      <c r="L43" s="4"/>
      <c r="M43" s="4" t="s">
        <v>78</v>
      </c>
      <c r="N43" s="13" t="s">
        <v>180</v>
      </c>
      <c r="O43" s="4" t="s">
        <v>69</v>
      </c>
      <c r="P43" s="4" t="s">
        <v>55</v>
      </c>
      <c r="Q43" s="4" t="s">
        <v>17</v>
      </c>
      <c r="R43" s="4" t="s">
        <v>56</v>
      </c>
      <c r="S43" s="4"/>
      <c r="T43" s="11"/>
      <c r="U43" s="14"/>
    </row>
    <row r="44" spans="1:21" ht="45" customHeight="1">
      <c r="A44" s="9">
        <v>105</v>
      </c>
      <c r="B44" s="4" t="s">
        <v>64</v>
      </c>
      <c r="C44" s="4" t="s">
        <v>8</v>
      </c>
      <c r="D44" s="4" t="s">
        <v>343</v>
      </c>
      <c r="E44" s="10" t="s">
        <v>57</v>
      </c>
      <c r="F44" s="4">
        <v>60861161</v>
      </c>
      <c r="G44" s="4" t="s">
        <v>84</v>
      </c>
      <c r="H44" s="11">
        <v>46193</v>
      </c>
      <c r="I44" s="12">
        <v>175450</v>
      </c>
      <c r="J44" s="4"/>
      <c r="K44" s="4" t="s">
        <v>85</v>
      </c>
      <c r="L44" s="4"/>
      <c r="M44" s="4" t="s">
        <v>86</v>
      </c>
      <c r="N44" s="13" t="s">
        <v>160</v>
      </c>
      <c r="O44" s="4" t="s">
        <v>88</v>
      </c>
      <c r="P44" s="4" t="s">
        <v>55</v>
      </c>
      <c r="Q44" s="4" t="s">
        <v>17</v>
      </c>
      <c r="R44" s="4" t="s">
        <v>56</v>
      </c>
      <c r="S44" s="4"/>
      <c r="T44" s="11"/>
      <c r="U44" s="14" t="s">
        <v>573</v>
      </c>
    </row>
    <row r="45" spans="1:21" ht="45" hidden="1" customHeight="1">
      <c r="A45" s="9">
        <v>44</v>
      </c>
      <c r="B45" s="4" t="s">
        <v>64</v>
      </c>
      <c r="C45" s="4" t="s">
        <v>7</v>
      </c>
      <c r="D45" s="4" t="s">
        <v>182</v>
      </c>
      <c r="E45" s="10" t="s">
        <v>57</v>
      </c>
      <c r="F45" s="4">
        <v>56527564</v>
      </c>
      <c r="G45" s="4" t="s">
        <v>138</v>
      </c>
      <c r="H45" s="11">
        <v>46132</v>
      </c>
      <c r="I45" s="12">
        <v>8800</v>
      </c>
      <c r="J45" s="4"/>
      <c r="K45" s="4"/>
      <c r="L45" s="4"/>
      <c r="M45" s="4" t="s">
        <v>67</v>
      </c>
      <c r="N45" s="13" t="s">
        <v>183</v>
      </c>
      <c r="O45" s="4" t="s">
        <v>69</v>
      </c>
      <c r="P45" s="4" t="s">
        <v>55</v>
      </c>
      <c r="Q45" s="4" t="s">
        <v>17</v>
      </c>
      <c r="R45" s="4" t="s">
        <v>56</v>
      </c>
      <c r="S45" s="4"/>
      <c r="T45" s="11"/>
      <c r="U45" s="14"/>
    </row>
    <row r="46" spans="1:21" ht="45" hidden="1" customHeight="1">
      <c r="A46" s="9">
        <v>45</v>
      </c>
      <c r="B46" s="4" t="s">
        <v>64</v>
      </c>
      <c r="C46" s="4" t="s">
        <v>7</v>
      </c>
      <c r="D46" s="4" t="s">
        <v>184</v>
      </c>
      <c r="E46" s="10" t="s">
        <v>57</v>
      </c>
      <c r="F46" s="4">
        <v>56527566</v>
      </c>
      <c r="G46" s="4" t="s">
        <v>141</v>
      </c>
      <c r="H46" s="11">
        <v>46132</v>
      </c>
      <c r="I46" s="12">
        <v>8800</v>
      </c>
      <c r="J46" s="4"/>
      <c r="K46" s="4"/>
      <c r="L46" s="4"/>
      <c r="M46" s="4" t="s">
        <v>67</v>
      </c>
      <c r="N46" s="13" t="s">
        <v>185</v>
      </c>
      <c r="O46" s="4" t="s">
        <v>69</v>
      </c>
      <c r="P46" s="4" t="s">
        <v>55</v>
      </c>
      <c r="Q46" s="4" t="s">
        <v>17</v>
      </c>
      <c r="R46" s="4" t="s">
        <v>56</v>
      </c>
      <c r="S46" s="4"/>
      <c r="T46" s="11"/>
      <c r="U46" s="14"/>
    </row>
    <row r="47" spans="1:21" ht="45" hidden="1" customHeight="1">
      <c r="A47" s="9">
        <v>46</v>
      </c>
      <c r="B47" s="4" t="s">
        <v>64</v>
      </c>
      <c r="C47" s="4" t="s">
        <v>9</v>
      </c>
      <c r="D47" s="4" t="s">
        <v>186</v>
      </c>
      <c r="E47" s="10" t="s">
        <v>57</v>
      </c>
      <c r="F47" s="4">
        <v>56647918</v>
      </c>
      <c r="G47" s="4" t="s">
        <v>187</v>
      </c>
      <c r="H47" s="11">
        <v>46132</v>
      </c>
      <c r="I47" s="12">
        <v>5181000</v>
      </c>
      <c r="J47" s="4"/>
      <c r="K47" s="4"/>
      <c r="L47" s="4"/>
      <c r="M47" s="4" t="s">
        <v>118</v>
      </c>
      <c r="N47" s="13" t="s">
        <v>188</v>
      </c>
      <c r="O47" s="4" t="s">
        <v>69</v>
      </c>
      <c r="P47" s="4" t="s">
        <v>55</v>
      </c>
      <c r="Q47" s="4" t="s">
        <v>17</v>
      </c>
      <c r="R47" s="4" t="s">
        <v>56</v>
      </c>
      <c r="S47" s="4"/>
      <c r="T47" s="11"/>
      <c r="U47" s="14"/>
    </row>
    <row r="48" spans="1:21" ht="45" customHeight="1">
      <c r="A48" s="9">
        <v>167</v>
      </c>
      <c r="B48" s="4" t="s">
        <v>64</v>
      </c>
      <c r="C48" s="4" t="s">
        <v>8</v>
      </c>
      <c r="D48" s="4" t="s">
        <v>508</v>
      </c>
      <c r="E48" s="10" t="s">
        <v>57</v>
      </c>
      <c r="F48" s="4">
        <v>63150545</v>
      </c>
      <c r="G48" s="4" t="s">
        <v>84</v>
      </c>
      <c r="H48" s="11">
        <v>46223</v>
      </c>
      <c r="I48" s="12">
        <v>175450</v>
      </c>
      <c r="J48" s="4"/>
      <c r="K48" s="4" t="s">
        <v>85</v>
      </c>
      <c r="L48" s="4"/>
      <c r="M48" s="4" t="s">
        <v>86</v>
      </c>
      <c r="N48" s="13" t="s">
        <v>160</v>
      </c>
      <c r="O48" s="4" t="s">
        <v>88</v>
      </c>
      <c r="P48" s="4" t="s">
        <v>55</v>
      </c>
      <c r="Q48" s="4" t="s">
        <v>17</v>
      </c>
      <c r="R48" s="4" t="s">
        <v>56</v>
      </c>
      <c r="S48" s="4"/>
      <c r="T48" s="11"/>
      <c r="U48" s="14" t="s">
        <v>573</v>
      </c>
    </row>
    <row r="49" spans="1:21" ht="45" customHeight="1">
      <c r="A49" s="9">
        <v>7</v>
      </c>
      <c r="B49" s="4" t="s">
        <v>64</v>
      </c>
      <c r="C49" s="4" t="s">
        <v>8</v>
      </c>
      <c r="D49" s="4" t="s">
        <v>83</v>
      </c>
      <c r="E49" s="10" t="s">
        <v>57</v>
      </c>
      <c r="F49" s="4">
        <v>54153836</v>
      </c>
      <c r="G49" s="4" t="s">
        <v>84</v>
      </c>
      <c r="H49" s="11">
        <v>46101</v>
      </c>
      <c r="I49" s="12">
        <v>175450</v>
      </c>
      <c r="J49" s="4"/>
      <c r="K49" s="4" t="s">
        <v>85</v>
      </c>
      <c r="L49" s="4"/>
      <c r="M49" s="4" t="s">
        <v>86</v>
      </c>
      <c r="N49" s="13" t="s">
        <v>87</v>
      </c>
      <c r="O49" s="4" t="s">
        <v>88</v>
      </c>
      <c r="P49" s="4" t="s">
        <v>55</v>
      </c>
      <c r="Q49" s="4" t="s">
        <v>17</v>
      </c>
      <c r="R49" s="4" t="s">
        <v>56</v>
      </c>
      <c r="S49" s="4"/>
      <c r="T49" s="11"/>
      <c r="U49" s="14" t="s">
        <v>573</v>
      </c>
    </row>
    <row r="50" spans="1:21" ht="45" customHeight="1">
      <c r="A50" s="9">
        <v>150</v>
      </c>
      <c r="B50" s="4" t="s">
        <v>64</v>
      </c>
      <c r="C50" s="4" t="s">
        <v>8</v>
      </c>
      <c r="D50" s="4" t="s">
        <v>471</v>
      </c>
      <c r="E50" s="10" t="s">
        <v>57</v>
      </c>
      <c r="F50" s="4">
        <v>63077956</v>
      </c>
      <c r="G50" s="4" t="s">
        <v>472</v>
      </c>
      <c r="H50" s="11">
        <v>46223</v>
      </c>
      <c r="I50" s="12">
        <v>44000</v>
      </c>
      <c r="J50" s="4"/>
      <c r="K50" s="4" t="s">
        <v>473</v>
      </c>
      <c r="L50" s="4"/>
      <c r="M50" s="4" t="s">
        <v>73</v>
      </c>
      <c r="N50" s="13" t="s">
        <v>474</v>
      </c>
      <c r="O50" s="4" t="s">
        <v>75</v>
      </c>
      <c r="P50" s="4" t="s">
        <v>55</v>
      </c>
      <c r="Q50" s="4" t="s">
        <v>17</v>
      </c>
      <c r="R50" s="4" t="s">
        <v>56</v>
      </c>
      <c r="S50" s="4"/>
      <c r="T50" s="11"/>
      <c r="U50" s="14"/>
    </row>
    <row r="51" spans="1:21" ht="45" hidden="1" customHeight="1">
      <c r="A51" s="9">
        <v>50</v>
      </c>
      <c r="B51" s="4" t="s">
        <v>64</v>
      </c>
      <c r="C51" s="4" t="s">
        <v>7</v>
      </c>
      <c r="D51" s="4" t="s">
        <v>199</v>
      </c>
      <c r="E51" s="10" t="s">
        <v>57</v>
      </c>
      <c r="F51" s="4">
        <v>56679018</v>
      </c>
      <c r="G51" s="4" t="s">
        <v>200</v>
      </c>
      <c r="H51" s="11">
        <v>46132</v>
      </c>
      <c r="I51" s="12">
        <v>52800</v>
      </c>
      <c r="J51" s="4"/>
      <c r="K51" s="4"/>
      <c r="L51" s="4"/>
      <c r="M51" s="4" t="s">
        <v>67</v>
      </c>
      <c r="N51" s="13" t="s">
        <v>201</v>
      </c>
      <c r="O51" s="4" t="s">
        <v>69</v>
      </c>
      <c r="P51" s="4" t="s">
        <v>55</v>
      </c>
      <c r="Q51" s="4" t="s">
        <v>17</v>
      </c>
      <c r="R51" s="4" t="s">
        <v>56</v>
      </c>
      <c r="S51" s="4"/>
      <c r="T51" s="11"/>
      <c r="U51" s="14"/>
    </row>
    <row r="52" spans="1:21" ht="45" hidden="1" customHeight="1">
      <c r="A52" s="9">
        <v>51</v>
      </c>
      <c r="B52" s="4" t="s">
        <v>64</v>
      </c>
      <c r="C52" s="4" t="s">
        <v>7</v>
      </c>
      <c r="D52" s="4" t="s">
        <v>202</v>
      </c>
      <c r="E52" s="10" t="s">
        <v>57</v>
      </c>
      <c r="F52" s="4">
        <v>56680866</v>
      </c>
      <c r="G52" s="4" t="s">
        <v>150</v>
      </c>
      <c r="H52" s="11">
        <v>46132</v>
      </c>
      <c r="I52" s="12">
        <v>17600</v>
      </c>
      <c r="J52" s="4"/>
      <c r="K52" s="4"/>
      <c r="L52" s="4"/>
      <c r="M52" s="4" t="s">
        <v>67</v>
      </c>
      <c r="N52" s="13" t="s">
        <v>203</v>
      </c>
      <c r="O52" s="4" t="s">
        <v>69</v>
      </c>
      <c r="P52" s="4" t="s">
        <v>55</v>
      </c>
      <c r="Q52" s="4" t="s">
        <v>17</v>
      </c>
      <c r="R52" s="4" t="s">
        <v>56</v>
      </c>
      <c r="S52" s="4"/>
      <c r="T52" s="11"/>
      <c r="U52" s="14"/>
    </row>
    <row r="53" spans="1:21" ht="45" hidden="1" customHeight="1">
      <c r="A53" s="9">
        <v>52</v>
      </c>
      <c r="B53" s="4" t="s">
        <v>64</v>
      </c>
      <c r="C53" s="4" t="s">
        <v>9</v>
      </c>
      <c r="D53" s="4" t="s">
        <v>204</v>
      </c>
      <c r="E53" s="10" t="s">
        <v>57</v>
      </c>
      <c r="F53" s="4">
        <v>56681536</v>
      </c>
      <c r="G53" s="4" t="s">
        <v>205</v>
      </c>
      <c r="H53" s="11">
        <v>46132</v>
      </c>
      <c r="I53" s="12">
        <v>1716000</v>
      </c>
      <c r="J53" s="4"/>
      <c r="K53" s="4"/>
      <c r="L53" s="4"/>
      <c r="M53" s="4" t="s">
        <v>118</v>
      </c>
      <c r="N53" s="13" t="s">
        <v>206</v>
      </c>
      <c r="O53" s="4" t="s">
        <v>69</v>
      </c>
      <c r="P53" s="4" t="s">
        <v>55</v>
      </c>
      <c r="Q53" s="4" t="s">
        <v>17</v>
      </c>
      <c r="R53" s="4" t="s">
        <v>56</v>
      </c>
      <c r="S53" s="4"/>
      <c r="T53" s="11"/>
      <c r="U53" s="14"/>
    </row>
    <row r="54" spans="1:21" ht="45" hidden="1" customHeight="1">
      <c r="A54" s="9">
        <v>53</v>
      </c>
      <c r="B54" s="4" t="s">
        <v>64</v>
      </c>
      <c r="C54" s="4" t="s">
        <v>7</v>
      </c>
      <c r="D54" s="4" t="s">
        <v>207</v>
      </c>
      <c r="E54" s="10" t="s">
        <v>57</v>
      </c>
      <c r="F54" s="4">
        <v>56682295</v>
      </c>
      <c r="G54" s="4" t="s">
        <v>208</v>
      </c>
      <c r="H54" s="11">
        <v>46132</v>
      </c>
      <c r="I54" s="12">
        <v>198000</v>
      </c>
      <c r="J54" s="4"/>
      <c r="K54" s="4"/>
      <c r="L54" s="4"/>
      <c r="M54" s="4" t="s">
        <v>67</v>
      </c>
      <c r="N54" s="13" t="s">
        <v>209</v>
      </c>
      <c r="O54" s="4" t="s">
        <v>69</v>
      </c>
      <c r="P54" s="4" t="s">
        <v>55</v>
      </c>
      <c r="Q54" s="4" t="s">
        <v>17</v>
      </c>
      <c r="R54" s="4" t="s">
        <v>56</v>
      </c>
      <c r="S54" s="4"/>
      <c r="T54" s="11"/>
      <c r="U54" s="14"/>
    </row>
    <row r="55" spans="1:21" ht="45" hidden="1" customHeight="1">
      <c r="A55" s="9">
        <v>54</v>
      </c>
      <c r="B55" s="4" t="s">
        <v>64</v>
      </c>
      <c r="C55" s="4" t="s">
        <v>9</v>
      </c>
      <c r="D55" s="4" t="s">
        <v>210</v>
      </c>
      <c r="E55" s="10" t="s">
        <v>57</v>
      </c>
      <c r="F55" s="4">
        <v>56685582</v>
      </c>
      <c r="G55" s="4" t="s">
        <v>211</v>
      </c>
      <c r="H55" s="11">
        <v>46132</v>
      </c>
      <c r="I55" s="12">
        <v>676500</v>
      </c>
      <c r="J55" s="4"/>
      <c r="K55" s="4"/>
      <c r="L55" s="4"/>
      <c r="M55" s="4" t="s">
        <v>212</v>
      </c>
      <c r="N55" s="13" t="s">
        <v>213</v>
      </c>
      <c r="O55" s="4" t="s">
        <v>69</v>
      </c>
      <c r="P55" s="4" t="s">
        <v>55</v>
      </c>
      <c r="Q55" s="4" t="s">
        <v>17</v>
      </c>
      <c r="R55" s="4" t="s">
        <v>56</v>
      </c>
      <c r="S55" s="4"/>
      <c r="T55" s="11"/>
      <c r="U55" s="14"/>
    </row>
    <row r="56" spans="1:21" ht="45" hidden="1" customHeight="1">
      <c r="A56" s="9">
        <v>55</v>
      </c>
      <c r="B56" s="4" t="s">
        <v>64</v>
      </c>
      <c r="C56" s="4" t="s">
        <v>7</v>
      </c>
      <c r="D56" s="4" t="s">
        <v>214</v>
      </c>
      <c r="E56" s="10" t="s">
        <v>57</v>
      </c>
      <c r="F56" s="4">
        <v>56692848</v>
      </c>
      <c r="G56" s="4" t="s">
        <v>147</v>
      </c>
      <c r="H56" s="11">
        <v>46132</v>
      </c>
      <c r="I56" s="12">
        <v>84700</v>
      </c>
      <c r="J56" s="4"/>
      <c r="K56" s="4"/>
      <c r="L56" s="4"/>
      <c r="M56" s="4" t="s">
        <v>67</v>
      </c>
      <c r="N56" s="13" t="s">
        <v>215</v>
      </c>
      <c r="O56" s="4" t="s">
        <v>69</v>
      </c>
      <c r="P56" s="4" t="s">
        <v>55</v>
      </c>
      <c r="Q56" s="4" t="s">
        <v>17</v>
      </c>
      <c r="R56" s="4" t="s">
        <v>56</v>
      </c>
      <c r="S56" s="4"/>
      <c r="T56" s="11"/>
      <c r="U56" s="14"/>
    </row>
    <row r="57" spans="1:21" ht="45" hidden="1" customHeight="1">
      <c r="A57" s="9">
        <v>56</v>
      </c>
      <c r="B57" s="4" t="s">
        <v>64</v>
      </c>
      <c r="C57" s="4" t="s">
        <v>9</v>
      </c>
      <c r="D57" s="4" t="s">
        <v>216</v>
      </c>
      <c r="E57" s="10" t="s">
        <v>57</v>
      </c>
      <c r="F57" s="4">
        <v>56693657</v>
      </c>
      <c r="G57" s="4" t="s">
        <v>217</v>
      </c>
      <c r="H57" s="11">
        <v>46132</v>
      </c>
      <c r="I57" s="12">
        <v>924000</v>
      </c>
      <c r="J57" s="4"/>
      <c r="K57" s="4"/>
      <c r="L57" s="4"/>
      <c r="M57" s="4" t="s">
        <v>118</v>
      </c>
      <c r="N57" s="13" t="s">
        <v>218</v>
      </c>
      <c r="O57" s="4" t="s">
        <v>69</v>
      </c>
      <c r="P57" s="4" t="s">
        <v>55</v>
      </c>
      <c r="Q57" s="4" t="s">
        <v>17</v>
      </c>
      <c r="R57" s="4" t="s">
        <v>56</v>
      </c>
      <c r="S57" s="4"/>
      <c r="T57" s="11"/>
      <c r="U57" s="14"/>
    </row>
    <row r="58" spans="1:21" ht="45" hidden="1" customHeight="1">
      <c r="A58" s="9">
        <v>57</v>
      </c>
      <c r="B58" s="4" t="s">
        <v>64</v>
      </c>
      <c r="C58" s="4" t="s">
        <v>9</v>
      </c>
      <c r="D58" s="4" t="s">
        <v>219</v>
      </c>
      <c r="E58" s="10" t="s">
        <v>57</v>
      </c>
      <c r="F58" s="4">
        <v>56697026</v>
      </c>
      <c r="G58" s="4" t="s">
        <v>217</v>
      </c>
      <c r="H58" s="11">
        <v>46132</v>
      </c>
      <c r="I58" s="12">
        <v>1293600</v>
      </c>
      <c r="J58" s="4"/>
      <c r="K58" s="4"/>
      <c r="L58" s="4"/>
      <c r="M58" s="4" t="s">
        <v>118</v>
      </c>
      <c r="N58" s="13" t="s">
        <v>218</v>
      </c>
      <c r="O58" s="4" t="s">
        <v>69</v>
      </c>
      <c r="P58" s="4" t="s">
        <v>55</v>
      </c>
      <c r="Q58" s="4" t="s">
        <v>17</v>
      </c>
      <c r="R58" s="4" t="s">
        <v>56</v>
      </c>
      <c r="S58" s="4"/>
      <c r="T58" s="11"/>
      <c r="U58" s="14"/>
    </row>
    <row r="59" spans="1:21" ht="45" hidden="1" customHeight="1">
      <c r="A59" s="9">
        <v>58</v>
      </c>
      <c r="B59" s="4" t="s">
        <v>64</v>
      </c>
      <c r="C59" s="4" t="s">
        <v>9</v>
      </c>
      <c r="D59" s="4" t="s">
        <v>220</v>
      </c>
      <c r="E59" s="10" t="s">
        <v>57</v>
      </c>
      <c r="F59" s="4">
        <v>56698344</v>
      </c>
      <c r="G59" s="4" t="s">
        <v>217</v>
      </c>
      <c r="H59" s="11">
        <v>46132</v>
      </c>
      <c r="I59" s="12">
        <v>554400</v>
      </c>
      <c r="J59" s="4"/>
      <c r="K59" s="4"/>
      <c r="L59" s="4"/>
      <c r="M59" s="4" t="s">
        <v>118</v>
      </c>
      <c r="N59" s="13" t="s">
        <v>218</v>
      </c>
      <c r="O59" s="4" t="s">
        <v>69</v>
      </c>
      <c r="P59" s="4" t="s">
        <v>55</v>
      </c>
      <c r="Q59" s="4" t="s">
        <v>17</v>
      </c>
      <c r="R59" s="4" t="s">
        <v>56</v>
      </c>
      <c r="S59" s="4"/>
      <c r="T59" s="11"/>
      <c r="U59" s="14"/>
    </row>
    <row r="60" spans="1:21" ht="45" hidden="1" customHeight="1">
      <c r="A60" s="9">
        <v>59</v>
      </c>
      <c r="B60" s="4" t="s">
        <v>64</v>
      </c>
      <c r="C60" s="4" t="s">
        <v>7</v>
      </c>
      <c r="D60" s="4" t="s">
        <v>221</v>
      </c>
      <c r="E60" s="10" t="s">
        <v>57</v>
      </c>
      <c r="F60" s="4">
        <v>56701208</v>
      </c>
      <c r="G60" s="4" t="s">
        <v>222</v>
      </c>
      <c r="H60" s="11">
        <v>46132</v>
      </c>
      <c r="I60" s="12">
        <v>12100</v>
      </c>
      <c r="J60" s="4"/>
      <c r="K60" s="4"/>
      <c r="L60" s="4"/>
      <c r="M60" s="4" t="s">
        <v>67</v>
      </c>
      <c r="N60" s="13" t="s">
        <v>223</v>
      </c>
      <c r="O60" s="4" t="s">
        <v>69</v>
      </c>
      <c r="P60" s="4" t="s">
        <v>55</v>
      </c>
      <c r="Q60" s="4" t="s">
        <v>17</v>
      </c>
      <c r="R60" s="4" t="s">
        <v>56</v>
      </c>
      <c r="S60" s="4"/>
      <c r="T60" s="11"/>
      <c r="U60" s="14"/>
    </row>
    <row r="61" spans="1:21" ht="45" hidden="1" customHeight="1">
      <c r="A61" s="9">
        <v>60</v>
      </c>
      <c r="B61" s="4" t="s">
        <v>47</v>
      </c>
      <c r="C61" s="4" t="s">
        <v>11</v>
      </c>
      <c r="D61" s="4" t="s">
        <v>224</v>
      </c>
      <c r="E61" s="10" t="s">
        <v>57</v>
      </c>
      <c r="F61" s="4">
        <v>58268807</v>
      </c>
      <c r="G61" s="4" t="s">
        <v>225</v>
      </c>
      <c r="H61" s="11">
        <v>46154</v>
      </c>
      <c r="I61" s="12">
        <v>0</v>
      </c>
      <c r="J61" s="4"/>
      <c r="K61" s="4" t="s">
        <v>226</v>
      </c>
      <c r="L61" s="4" t="s">
        <v>227</v>
      </c>
      <c r="M61" s="4" t="s">
        <v>52</v>
      </c>
      <c r="N61" s="13" t="s">
        <v>228</v>
      </c>
      <c r="O61" s="4" t="s">
        <v>54</v>
      </c>
      <c r="P61" s="4" t="s">
        <v>55</v>
      </c>
      <c r="Q61" s="4" t="s">
        <v>17</v>
      </c>
      <c r="R61" s="4" t="s">
        <v>56</v>
      </c>
      <c r="S61" s="4"/>
      <c r="T61" s="11"/>
      <c r="U61" s="14"/>
    </row>
    <row r="62" spans="1:21" ht="45" hidden="1" customHeight="1">
      <c r="A62" s="9">
        <v>61</v>
      </c>
      <c r="B62" s="4" t="s">
        <v>47</v>
      </c>
      <c r="C62" s="4" t="s">
        <v>11</v>
      </c>
      <c r="D62" s="4" t="s">
        <v>229</v>
      </c>
      <c r="E62" s="10" t="s">
        <v>57</v>
      </c>
      <c r="F62" s="4">
        <v>58486360</v>
      </c>
      <c r="G62" s="4" t="s">
        <v>141</v>
      </c>
      <c r="H62" s="11">
        <v>46157</v>
      </c>
      <c r="I62" s="12">
        <v>3168000</v>
      </c>
      <c r="J62" s="4"/>
      <c r="K62" s="4" t="s">
        <v>153</v>
      </c>
      <c r="L62" s="4" t="s">
        <v>230</v>
      </c>
      <c r="M62" s="4" t="s">
        <v>52</v>
      </c>
      <c r="N62" s="13" t="s">
        <v>231</v>
      </c>
      <c r="O62" s="4" t="s">
        <v>54</v>
      </c>
      <c r="P62" s="4" t="s">
        <v>55</v>
      </c>
      <c r="Q62" s="4" t="s">
        <v>17</v>
      </c>
      <c r="R62" s="4" t="s">
        <v>56</v>
      </c>
      <c r="S62" s="4"/>
      <c r="T62" s="11"/>
      <c r="U62" s="14"/>
    </row>
    <row r="63" spans="1:21" ht="45" hidden="1" customHeight="1">
      <c r="A63" s="9">
        <v>62</v>
      </c>
      <c r="B63" s="4" t="s">
        <v>64</v>
      </c>
      <c r="C63" s="4" t="s">
        <v>7</v>
      </c>
      <c r="D63" s="4" t="s">
        <v>232</v>
      </c>
      <c r="E63" s="10" t="s">
        <v>57</v>
      </c>
      <c r="F63" s="4">
        <v>58573601</v>
      </c>
      <c r="G63" s="4" t="s">
        <v>233</v>
      </c>
      <c r="H63" s="11">
        <v>46162</v>
      </c>
      <c r="I63" s="12">
        <v>12100</v>
      </c>
      <c r="J63" s="4"/>
      <c r="K63" s="4"/>
      <c r="L63" s="4"/>
      <c r="M63" s="4" t="s">
        <v>67</v>
      </c>
      <c r="N63" s="13" t="s">
        <v>234</v>
      </c>
      <c r="O63" s="4" t="s">
        <v>69</v>
      </c>
      <c r="P63" s="4" t="s">
        <v>55</v>
      </c>
      <c r="Q63" s="4" t="s">
        <v>17</v>
      </c>
      <c r="R63" s="4" t="s">
        <v>56</v>
      </c>
      <c r="S63" s="4"/>
      <c r="T63" s="11"/>
      <c r="U63" s="14"/>
    </row>
    <row r="64" spans="1:21" ht="45" customHeight="1">
      <c r="A64" s="9">
        <v>158</v>
      </c>
      <c r="B64" s="4" t="s">
        <v>64</v>
      </c>
      <c r="C64" s="4" t="s">
        <v>8</v>
      </c>
      <c r="D64" s="4" t="s">
        <v>491</v>
      </c>
      <c r="E64" s="10" t="s">
        <v>57</v>
      </c>
      <c r="F64" s="4">
        <v>63125575</v>
      </c>
      <c r="G64" s="4" t="s">
        <v>194</v>
      </c>
      <c r="H64" s="11">
        <v>46223</v>
      </c>
      <c r="I64" s="12">
        <v>14080</v>
      </c>
      <c r="J64" s="4"/>
      <c r="K64" s="4" t="s">
        <v>195</v>
      </c>
      <c r="L64" s="4"/>
      <c r="M64" s="4" t="s">
        <v>73</v>
      </c>
      <c r="N64" s="13" t="s">
        <v>492</v>
      </c>
      <c r="O64" s="4" t="s">
        <v>75</v>
      </c>
      <c r="P64" s="4" t="s">
        <v>55</v>
      </c>
      <c r="Q64" s="4" t="s">
        <v>17</v>
      </c>
      <c r="R64" s="4" t="s">
        <v>56</v>
      </c>
      <c r="S64" s="4"/>
      <c r="T64" s="11"/>
      <c r="U64" s="14"/>
    </row>
    <row r="65" spans="1:21" ht="45" hidden="1" customHeight="1">
      <c r="A65" s="9">
        <v>64</v>
      </c>
      <c r="B65" s="4" t="s">
        <v>64</v>
      </c>
      <c r="C65" s="4" t="s">
        <v>7</v>
      </c>
      <c r="D65" s="4" t="s">
        <v>239</v>
      </c>
      <c r="E65" s="10" t="s">
        <v>57</v>
      </c>
      <c r="F65" s="4">
        <v>58573606</v>
      </c>
      <c r="G65" s="4" t="s">
        <v>240</v>
      </c>
      <c r="H65" s="11">
        <v>46162</v>
      </c>
      <c r="I65" s="12">
        <v>12100</v>
      </c>
      <c r="J65" s="4"/>
      <c r="K65" s="4"/>
      <c r="L65" s="4"/>
      <c r="M65" s="4" t="s">
        <v>67</v>
      </c>
      <c r="N65" s="13" t="s">
        <v>241</v>
      </c>
      <c r="O65" s="4" t="s">
        <v>69</v>
      </c>
      <c r="P65" s="4" t="s">
        <v>55</v>
      </c>
      <c r="Q65" s="4" t="s">
        <v>17</v>
      </c>
      <c r="R65" s="4" t="s">
        <v>56</v>
      </c>
      <c r="S65" s="4"/>
      <c r="T65" s="11"/>
      <c r="U65" s="14"/>
    </row>
    <row r="66" spans="1:21" ht="45" hidden="1" customHeight="1">
      <c r="A66" s="9">
        <v>65</v>
      </c>
      <c r="B66" s="4" t="s">
        <v>64</v>
      </c>
      <c r="C66" s="4" t="s">
        <v>7</v>
      </c>
      <c r="D66" s="4" t="s">
        <v>242</v>
      </c>
      <c r="E66" s="10" t="s">
        <v>57</v>
      </c>
      <c r="F66" s="4">
        <v>58573608</v>
      </c>
      <c r="G66" s="4" t="s">
        <v>66</v>
      </c>
      <c r="H66" s="11">
        <v>46162</v>
      </c>
      <c r="I66" s="12">
        <v>12100</v>
      </c>
      <c r="J66" s="4"/>
      <c r="K66" s="4"/>
      <c r="L66" s="4"/>
      <c r="M66" s="4" t="s">
        <v>67</v>
      </c>
      <c r="N66" s="13" t="s">
        <v>243</v>
      </c>
      <c r="O66" s="4" t="s">
        <v>69</v>
      </c>
      <c r="P66" s="4" t="s">
        <v>55</v>
      </c>
      <c r="Q66" s="4" t="s">
        <v>17</v>
      </c>
      <c r="R66" s="4" t="s">
        <v>56</v>
      </c>
      <c r="S66" s="4"/>
      <c r="T66" s="11"/>
      <c r="U66" s="14"/>
    </row>
    <row r="67" spans="1:21" ht="45" customHeight="1">
      <c r="A67" s="9">
        <v>84</v>
      </c>
      <c r="B67" s="4" t="s">
        <v>64</v>
      </c>
      <c r="C67" s="4" t="s">
        <v>8</v>
      </c>
      <c r="D67" s="4" t="s">
        <v>275</v>
      </c>
      <c r="E67" s="10" t="s">
        <v>57</v>
      </c>
      <c r="F67" s="4">
        <v>58690758</v>
      </c>
      <c r="G67" s="4" t="s">
        <v>194</v>
      </c>
      <c r="H67" s="11">
        <v>46162</v>
      </c>
      <c r="I67" s="12">
        <v>14080</v>
      </c>
      <c r="J67" s="4"/>
      <c r="K67" s="4" t="s">
        <v>195</v>
      </c>
      <c r="L67" s="4"/>
      <c r="M67" s="4" t="s">
        <v>73</v>
      </c>
      <c r="N67" s="13" t="s">
        <v>276</v>
      </c>
      <c r="O67" s="4" t="s">
        <v>75</v>
      </c>
      <c r="P67" s="4" t="s">
        <v>55</v>
      </c>
      <c r="Q67" s="4" t="s">
        <v>17</v>
      </c>
      <c r="R67" s="4" t="s">
        <v>56</v>
      </c>
      <c r="S67" s="4"/>
      <c r="T67" s="11"/>
      <c r="U67" s="14"/>
    </row>
    <row r="68" spans="1:21" ht="45" hidden="1" customHeight="1">
      <c r="A68" s="9">
        <v>67</v>
      </c>
      <c r="B68" s="4" t="s">
        <v>64</v>
      </c>
      <c r="C68" s="4" t="s">
        <v>9</v>
      </c>
      <c r="D68" s="4" t="s">
        <v>245</v>
      </c>
      <c r="E68" s="10" t="s">
        <v>57</v>
      </c>
      <c r="F68" s="4">
        <v>58573614</v>
      </c>
      <c r="G68" s="4" t="s">
        <v>77</v>
      </c>
      <c r="H68" s="11">
        <v>46162</v>
      </c>
      <c r="I68" s="12">
        <v>12100</v>
      </c>
      <c r="J68" s="4"/>
      <c r="K68" s="4"/>
      <c r="L68" s="4"/>
      <c r="M68" s="4" t="s">
        <v>78</v>
      </c>
      <c r="N68" s="13" t="s">
        <v>246</v>
      </c>
      <c r="O68" s="4" t="s">
        <v>69</v>
      </c>
      <c r="P68" s="4" t="s">
        <v>55</v>
      </c>
      <c r="Q68" s="4" t="s">
        <v>17</v>
      </c>
      <c r="R68" s="4" t="s">
        <v>56</v>
      </c>
      <c r="S68" s="4"/>
      <c r="T68" s="11"/>
      <c r="U68" s="14"/>
    </row>
    <row r="69" spans="1:21" ht="45" customHeight="1">
      <c r="A69" s="9">
        <v>48</v>
      </c>
      <c r="B69" s="4" t="s">
        <v>64</v>
      </c>
      <c r="C69" s="4" t="s">
        <v>8</v>
      </c>
      <c r="D69" s="4" t="s">
        <v>193</v>
      </c>
      <c r="E69" s="10" t="s">
        <v>57</v>
      </c>
      <c r="F69" s="4">
        <v>56678351</v>
      </c>
      <c r="G69" s="4" t="s">
        <v>194</v>
      </c>
      <c r="H69" s="11">
        <v>46132</v>
      </c>
      <c r="I69" s="12">
        <v>14080</v>
      </c>
      <c r="J69" s="4"/>
      <c r="K69" s="4" t="s">
        <v>195</v>
      </c>
      <c r="L69" s="4"/>
      <c r="M69" s="4" t="s">
        <v>73</v>
      </c>
      <c r="N69" s="13" t="s">
        <v>196</v>
      </c>
      <c r="O69" s="4" t="s">
        <v>75</v>
      </c>
      <c r="P69" s="4" t="s">
        <v>55</v>
      </c>
      <c r="Q69" s="4" t="s">
        <v>17</v>
      </c>
      <c r="R69" s="4" t="s">
        <v>56</v>
      </c>
      <c r="S69" s="4"/>
      <c r="T69" s="11"/>
      <c r="U69" s="14"/>
    </row>
    <row r="70" spans="1:21" ht="45" customHeight="1">
      <c r="A70" s="9">
        <v>83</v>
      </c>
      <c r="B70" s="4" t="s">
        <v>64</v>
      </c>
      <c r="C70" s="4" t="s">
        <v>8</v>
      </c>
      <c r="D70" s="4" t="s">
        <v>273</v>
      </c>
      <c r="E70" s="10" t="s">
        <v>57</v>
      </c>
      <c r="F70" s="4">
        <v>58690508</v>
      </c>
      <c r="G70" s="4" t="s">
        <v>194</v>
      </c>
      <c r="H70" s="11">
        <v>46162</v>
      </c>
      <c r="I70" s="12">
        <v>42240</v>
      </c>
      <c r="J70" s="4"/>
      <c r="K70" s="4" t="s">
        <v>195</v>
      </c>
      <c r="L70" s="4"/>
      <c r="M70" s="4" t="s">
        <v>73</v>
      </c>
      <c r="N70" s="13" t="s">
        <v>274</v>
      </c>
      <c r="O70" s="4" t="s">
        <v>75</v>
      </c>
      <c r="P70" s="4" t="s">
        <v>55</v>
      </c>
      <c r="Q70" s="4" t="s">
        <v>17</v>
      </c>
      <c r="R70" s="4" t="s">
        <v>56</v>
      </c>
      <c r="S70" s="4"/>
      <c r="T70" s="11"/>
      <c r="U70" s="14"/>
    </row>
    <row r="71" spans="1:21" ht="45" hidden="1" customHeight="1">
      <c r="A71" s="9">
        <v>70</v>
      </c>
      <c r="B71" s="4" t="s">
        <v>64</v>
      </c>
      <c r="C71" s="4" t="s">
        <v>9</v>
      </c>
      <c r="D71" s="4" t="s">
        <v>249</v>
      </c>
      <c r="E71" s="10" t="s">
        <v>57</v>
      </c>
      <c r="F71" s="4">
        <v>58573621</v>
      </c>
      <c r="G71" s="4" t="s">
        <v>93</v>
      </c>
      <c r="H71" s="11">
        <v>46162</v>
      </c>
      <c r="I71" s="12">
        <v>12100</v>
      </c>
      <c r="J71" s="4"/>
      <c r="K71" s="4"/>
      <c r="L71" s="4"/>
      <c r="M71" s="4" t="s">
        <v>78</v>
      </c>
      <c r="N71" s="13" t="s">
        <v>250</v>
      </c>
      <c r="O71" s="4" t="s">
        <v>69</v>
      </c>
      <c r="P71" s="4" t="s">
        <v>55</v>
      </c>
      <c r="Q71" s="4" t="s">
        <v>17</v>
      </c>
      <c r="R71" s="4" t="s">
        <v>56</v>
      </c>
      <c r="S71" s="4"/>
      <c r="T71" s="11"/>
      <c r="U71" s="14"/>
    </row>
    <row r="72" spans="1:21" ht="45" customHeight="1">
      <c r="A72" s="9">
        <v>49</v>
      </c>
      <c r="B72" s="4" t="s">
        <v>64</v>
      </c>
      <c r="C72" s="4" t="s">
        <v>8</v>
      </c>
      <c r="D72" s="4" t="s">
        <v>197</v>
      </c>
      <c r="E72" s="10" t="s">
        <v>57</v>
      </c>
      <c r="F72" s="4">
        <v>56678813</v>
      </c>
      <c r="G72" s="4" t="s">
        <v>194</v>
      </c>
      <c r="H72" s="11">
        <v>46132</v>
      </c>
      <c r="I72" s="12">
        <v>7040</v>
      </c>
      <c r="J72" s="4"/>
      <c r="K72" s="4" t="s">
        <v>195</v>
      </c>
      <c r="L72" s="4"/>
      <c r="M72" s="4" t="s">
        <v>73</v>
      </c>
      <c r="N72" s="13" t="s">
        <v>198</v>
      </c>
      <c r="O72" s="4" t="s">
        <v>75</v>
      </c>
      <c r="P72" s="4" t="s">
        <v>55</v>
      </c>
      <c r="Q72" s="4" t="s">
        <v>17</v>
      </c>
      <c r="R72" s="4" t="s">
        <v>56</v>
      </c>
      <c r="S72" s="4"/>
      <c r="T72" s="11"/>
      <c r="U72" s="14"/>
    </row>
    <row r="73" spans="1:21" ht="45" hidden="1" customHeight="1">
      <c r="A73" s="9">
        <v>72</v>
      </c>
      <c r="B73" s="4" t="s">
        <v>64</v>
      </c>
      <c r="C73" s="4" t="s">
        <v>7</v>
      </c>
      <c r="D73" s="4" t="s">
        <v>252</v>
      </c>
      <c r="E73" s="10" t="s">
        <v>57</v>
      </c>
      <c r="F73" s="4">
        <v>58573626</v>
      </c>
      <c r="G73" s="4" t="s">
        <v>99</v>
      </c>
      <c r="H73" s="11">
        <v>46162</v>
      </c>
      <c r="I73" s="12">
        <v>8800</v>
      </c>
      <c r="J73" s="4"/>
      <c r="K73" s="4"/>
      <c r="L73" s="4"/>
      <c r="M73" s="4" t="s">
        <v>67</v>
      </c>
      <c r="N73" s="13" t="s">
        <v>253</v>
      </c>
      <c r="O73" s="4" t="s">
        <v>69</v>
      </c>
      <c r="P73" s="4" t="s">
        <v>55</v>
      </c>
      <c r="Q73" s="4" t="s">
        <v>17</v>
      </c>
      <c r="R73" s="4" t="s">
        <v>56</v>
      </c>
      <c r="S73" s="4"/>
      <c r="T73" s="11"/>
      <c r="U73" s="14"/>
    </row>
    <row r="74" spans="1:21" ht="45" hidden="1" customHeight="1">
      <c r="A74" s="9">
        <v>73</v>
      </c>
      <c r="B74" s="4" t="s">
        <v>64</v>
      </c>
      <c r="C74" s="4" t="s">
        <v>7</v>
      </c>
      <c r="D74" s="4" t="s">
        <v>254</v>
      </c>
      <c r="E74" s="10" t="s">
        <v>57</v>
      </c>
      <c r="F74" s="4">
        <v>58573627</v>
      </c>
      <c r="G74" s="4" t="s">
        <v>102</v>
      </c>
      <c r="H74" s="11">
        <v>46162</v>
      </c>
      <c r="I74" s="12">
        <v>12100</v>
      </c>
      <c r="J74" s="4"/>
      <c r="K74" s="4"/>
      <c r="L74" s="4"/>
      <c r="M74" s="4" t="s">
        <v>67</v>
      </c>
      <c r="N74" s="13" t="s">
        <v>255</v>
      </c>
      <c r="O74" s="4" t="s">
        <v>69</v>
      </c>
      <c r="P74" s="4" t="s">
        <v>55</v>
      </c>
      <c r="Q74" s="4" t="s">
        <v>17</v>
      </c>
      <c r="R74" s="4" t="s">
        <v>56</v>
      </c>
      <c r="S74" s="4"/>
      <c r="T74" s="11"/>
      <c r="U74" s="14"/>
    </row>
    <row r="75" spans="1:21" ht="45" hidden="1" customHeight="1">
      <c r="A75" s="9">
        <v>74</v>
      </c>
      <c r="B75" s="4" t="s">
        <v>64</v>
      </c>
      <c r="C75" s="4" t="s">
        <v>7</v>
      </c>
      <c r="D75" s="4" t="s">
        <v>256</v>
      </c>
      <c r="E75" s="10" t="s">
        <v>57</v>
      </c>
      <c r="F75" s="4">
        <v>58573629</v>
      </c>
      <c r="G75" s="4" t="s">
        <v>105</v>
      </c>
      <c r="H75" s="11">
        <v>46162</v>
      </c>
      <c r="I75" s="12">
        <v>48400</v>
      </c>
      <c r="J75" s="4"/>
      <c r="K75" s="4"/>
      <c r="L75" s="4"/>
      <c r="M75" s="4" t="s">
        <v>67</v>
      </c>
      <c r="N75" s="13" t="s">
        <v>257</v>
      </c>
      <c r="O75" s="4" t="s">
        <v>69</v>
      </c>
      <c r="P75" s="4" t="s">
        <v>55</v>
      </c>
      <c r="Q75" s="4" t="s">
        <v>17</v>
      </c>
      <c r="R75" s="4" t="s">
        <v>56</v>
      </c>
      <c r="S75" s="4"/>
      <c r="T75" s="11"/>
      <c r="U75" s="14"/>
    </row>
    <row r="76" spans="1:21" ht="45" hidden="1" customHeight="1">
      <c r="A76" s="9">
        <v>75</v>
      </c>
      <c r="B76" s="4" t="s">
        <v>64</v>
      </c>
      <c r="C76" s="4" t="s">
        <v>7</v>
      </c>
      <c r="D76" s="4" t="s">
        <v>258</v>
      </c>
      <c r="E76" s="10" t="s">
        <v>57</v>
      </c>
      <c r="F76" s="4">
        <v>58573631</v>
      </c>
      <c r="G76" s="4" t="s">
        <v>108</v>
      </c>
      <c r="H76" s="11">
        <v>46162</v>
      </c>
      <c r="I76" s="12">
        <v>8800</v>
      </c>
      <c r="J76" s="4"/>
      <c r="K76" s="4"/>
      <c r="L76" s="4"/>
      <c r="M76" s="4" t="s">
        <v>67</v>
      </c>
      <c r="N76" s="13" t="s">
        <v>259</v>
      </c>
      <c r="O76" s="4" t="s">
        <v>69</v>
      </c>
      <c r="P76" s="4" t="s">
        <v>55</v>
      </c>
      <c r="Q76" s="4" t="s">
        <v>17</v>
      </c>
      <c r="R76" s="4" t="s">
        <v>56</v>
      </c>
      <c r="S76" s="4"/>
      <c r="T76" s="11"/>
      <c r="U76" s="14"/>
    </row>
    <row r="77" spans="1:21" ht="45" hidden="1" customHeight="1">
      <c r="A77" s="9">
        <v>76</v>
      </c>
      <c r="B77" s="4" t="s">
        <v>64</v>
      </c>
      <c r="C77" s="4" t="s">
        <v>7</v>
      </c>
      <c r="D77" s="4" t="s">
        <v>260</v>
      </c>
      <c r="E77" s="10" t="s">
        <v>57</v>
      </c>
      <c r="F77" s="4">
        <v>58573632</v>
      </c>
      <c r="G77" s="4" t="s">
        <v>111</v>
      </c>
      <c r="H77" s="11">
        <v>46162</v>
      </c>
      <c r="I77" s="12">
        <v>60500</v>
      </c>
      <c r="J77" s="4"/>
      <c r="K77" s="4"/>
      <c r="L77" s="4"/>
      <c r="M77" s="4" t="s">
        <v>67</v>
      </c>
      <c r="N77" s="13" t="s">
        <v>261</v>
      </c>
      <c r="O77" s="4" t="s">
        <v>69</v>
      </c>
      <c r="P77" s="4" t="s">
        <v>55</v>
      </c>
      <c r="Q77" s="4" t="s">
        <v>17</v>
      </c>
      <c r="R77" s="4" t="s">
        <v>56</v>
      </c>
      <c r="S77" s="4"/>
      <c r="T77" s="11"/>
      <c r="U77" s="14"/>
    </row>
    <row r="78" spans="1:21" ht="45" hidden="1" customHeight="1">
      <c r="A78" s="9">
        <v>77</v>
      </c>
      <c r="B78" s="4" t="s">
        <v>64</v>
      </c>
      <c r="C78" s="4" t="s">
        <v>7</v>
      </c>
      <c r="D78" s="4" t="s">
        <v>262</v>
      </c>
      <c r="E78" s="10" t="s">
        <v>57</v>
      </c>
      <c r="F78" s="4">
        <v>58573642</v>
      </c>
      <c r="G78" s="4" t="s">
        <v>121</v>
      </c>
      <c r="H78" s="11">
        <v>46162</v>
      </c>
      <c r="I78" s="12">
        <v>8800</v>
      </c>
      <c r="J78" s="4"/>
      <c r="K78" s="4"/>
      <c r="L78" s="4"/>
      <c r="M78" s="4" t="s">
        <v>67</v>
      </c>
      <c r="N78" s="13" t="s">
        <v>263</v>
      </c>
      <c r="O78" s="4" t="s">
        <v>69</v>
      </c>
      <c r="P78" s="4" t="s">
        <v>55</v>
      </c>
      <c r="Q78" s="4" t="s">
        <v>17</v>
      </c>
      <c r="R78" s="4" t="s">
        <v>56</v>
      </c>
      <c r="S78" s="4"/>
      <c r="T78" s="11"/>
      <c r="U78" s="14"/>
    </row>
    <row r="79" spans="1:21" ht="45" hidden="1" customHeight="1">
      <c r="A79" s="9">
        <v>78</v>
      </c>
      <c r="B79" s="4" t="s">
        <v>64</v>
      </c>
      <c r="C79" s="4" t="s">
        <v>7</v>
      </c>
      <c r="D79" s="4" t="s">
        <v>264</v>
      </c>
      <c r="E79" s="10" t="s">
        <v>57</v>
      </c>
      <c r="F79" s="4">
        <v>58573647</v>
      </c>
      <c r="G79" s="4" t="s">
        <v>124</v>
      </c>
      <c r="H79" s="11">
        <v>46162</v>
      </c>
      <c r="I79" s="12">
        <v>8800</v>
      </c>
      <c r="J79" s="4"/>
      <c r="K79" s="4"/>
      <c r="L79" s="4"/>
      <c r="M79" s="4" t="s">
        <v>67</v>
      </c>
      <c r="N79" s="13" t="s">
        <v>265</v>
      </c>
      <c r="O79" s="4" t="s">
        <v>69</v>
      </c>
      <c r="P79" s="4" t="s">
        <v>55</v>
      </c>
      <c r="Q79" s="4" t="s">
        <v>17</v>
      </c>
      <c r="R79" s="4" t="s">
        <v>56</v>
      </c>
      <c r="S79" s="4"/>
      <c r="T79" s="11"/>
      <c r="U79" s="14"/>
    </row>
    <row r="80" spans="1:21" ht="45" hidden="1" customHeight="1">
      <c r="A80" s="9">
        <v>79</v>
      </c>
      <c r="B80" s="4" t="s">
        <v>64</v>
      </c>
      <c r="C80" s="4" t="s">
        <v>9</v>
      </c>
      <c r="D80" s="4" t="s">
        <v>266</v>
      </c>
      <c r="E80" s="10" t="s">
        <v>57</v>
      </c>
      <c r="F80" s="4">
        <v>58573648</v>
      </c>
      <c r="G80" s="4" t="s">
        <v>127</v>
      </c>
      <c r="H80" s="11">
        <v>46162</v>
      </c>
      <c r="I80" s="12">
        <v>108900</v>
      </c>
      <c r="J80" s="4"/>
      <c r="K80" s="4"/>
      <c r="L80" s="4"/>
      <c r="M80" s="4" t="s">
        <v>78</v>
      </c>
      <c r="N80" s="13" t="s">
        <v>267</v>
      </c>
      <c r="O80" s="4" t="s">
        <v>69</v>
      </c>
      <c r="P80" s="4" t="s">
        <v>55</v>
      </c>
      <c r="Q80" s="4" t="s">
        <v>17</v>
      </c>
      <c r="R80" s="4" t="s">
        <v>56</v>
      </c>
      <c r="S80" s="4"/>
      <c r="T80" s="11"/>
      <c r="U80" s="14"/>
    </row>
    <row r="81" spans="1:21" ht="45" customHeight="1">
      <c r="A81" s="9">
        <v>21</v>
      </c>
      <c r="B81" s="4" t="s">
        <v>64</v>
      </c>
      <c r="C81" s="4" t="s">
        <v>8</v>
      </c>
      <c r="D81" s="4" t="s">
        <v>129</v>
      </c>
      <c r="E81" s="10" t="s">
        <v>57</v>
      </c>
      <c r="F81" s="4">
        <v>54153863</v>
      </c>
      <c r="G81" s="4" t="s">
        <v>130</v>
      </c>
      <c r="H81" s="11">
        <v>46101</v>
      </c>
      <c r="I81" s="12">
        <v>60500</v>
      </c>
      <c r="J81" s="4"/>
      <c r="K81" s="4" t="s">
        <v>131</v>
      </c>
      <c r="L81" s="4"/>
      <c r="M81" s="4" t="s">
        <v>73</v>
      </c>
      <c r="N81" s="13" t="s">
        <v>132</v>
      </c>
      <c r="O81" s="4" t="s">
        <v>75</v>
      </c>
      <c r="P81" s="4" t="s">
        <v>55</v>
      </c>
      <c r="Q81" s="4" t="s">
        <v>17</v>
      </c>
      <c r="R81" s="4" t="s">
        <v>56</v>
      </c>
      <c r="S81" s="4"/>
      <c r="T81" s="11"/>
      <c r="U81" s="14"/>
    </row>
    <row r="82" spans="1:21" ht="45" hidden="1" customHeight="1">
      <c r="A82" s="9">
        <v>81</v>
      </c>
      <c r="B82" s="4" t="s">
        <v>64</v>
      </c>
      <c r="C82" s="4" t="s">
        <v>7</v>
      </c>
      <c r="D82" s="4" t="s">
        <v>269</v>
      </c>
      <c r="E82" s="10" t="s">
        <v>57</v>
      </c>
      <c r="F82" s="4">
        <v>58573663</v>
      </c>
      <c r="G82" s="4" t="s">
        <v>138</v>
      </c>
      <c r="H82" s="11">
        <v>46162</v>
      </c>
      <c r="I82" s="12">
        <v>8800</v>
      </c>
      <c r="J82" s="4"/>
      <c r="K82" s="4"/>
      <c r="L82" s="4"/>
      <c r="M82" s="4" t="s">
        <v>67</v>
      </c>
      <c r="N82" s="13" t="s">
        <v>270</v>
      </c>
      <c r="O82" s="4" t="s">
        <v>69</v>
      </c>
      <c r="P82" s="4" t="s">
        <v>55</v>
      </c>
      <c r="Q82" s="4" t="s">
        <v>17</v>
      </c>
      <c r="R82" s="4" t="s">
        <v>56</v>
      </c>
      <c r="S82" s="4"/>
      <c r="T82" s="11"/>
      <c r="U82" s="14"/>
    </row>
    <row r="83" spans="1:21" ht="45" hidden="1" customHeight="1">
      <c r="A83" s="9">
        <v>82</v>
      </c>
      <c r="B83" s="4" t="s">
        <v>64</v>
      </c>
      <c r="C83" s="4" t="s">
        <v>7</v>
      </c>
      <c r="D83" s="4" t="s">
        <v>271</v>
      </c>
      <c r="E83" s="10" t="s">
        <v>57</v>
      </c>
      <c r="F83" s="4">
        <v>58573667</v>
      </c>
      <c r="G83" s="4" t="s">
        <v>141</v>
      </c>
      <c r="H83" s="11">
        <v>46162</v>
      </c>
      <c r="I83" s="12">
        <v>8800</v>
      </c>
      <c r="J83" s="4"/>
      <c r="K83" s="4"/>
      <c r="L83" s="4"/>
      <c r="M83" s="4" t="s">
        <v>67</v>
      </c>
      <c r="N83" s="13" t="s">
        <v>272</v>
      </c>
      <c r="O83" s="4" t="s">
        <v>69</v>
      </c>
      <c r="P83" s="4" t="s">
        <v>55</v>
      </c>
      <c r="Q83" s="4" t="s">
        <v>17</v>
      </c>
      <c r="R83" s="4" t="s">
        <v>56</v>
      </c>
      <c r="S83" s="4"/>
      <c r="T83" s="11"/>
      <c r="U83" s="14"/>
    </row>
    <row r="84" spans="1:21" ht="45" customHeight="1">
      <c r="A84" s="9">
        <v>162</v>
      </c>
      <c r="B84" s="4" t="s">
        <v>64</v>
      </c>
      <c r="C84" s="4" t="s">
        <v>8</v>
      </c>
      <c r="D84" s="4" t="s">
        <v>499</v>
      </c>
      <c r="E84" s="10" t="s">
        <v>57</v>
      </c>
      <c r="F84" s="4">
        <v>63127138</v>
      </c>
      <c r="G84" s="4" t="s">
        <v>194</v>
      </c>
      <c r="H84" s="11">
        <v>46223</v>
      </c>
      <c r="I84" s="12">
        <v>1584000</v>
      </c>
      <c r="J84" s="4"/>
      <c r="K84" s="4" t="s">
        <v>195</v>
      </c>
      <c r="L84" s="4"/>
      <c r="M84" s="4" t="s">
        <v>73</v>
      </c>
      <c r="N84" s="13" t="s">
        <v>500</v>
      </c>
      <c r="O84" s="4" t="s">
        <v>75</v>
      </c>
      <c r="P84" s="4" t="s">
        <v>55</v>
      </c>
      <c r="Q84" s="4" t="s">
        <v>17</v>
      </c>
      <c r="R84" s="4" t="s">
        <v>56</v>
      </c>
      <c r="S84" s="4"/>
      <c r="T84" s="11"/>
      <c r="U84" s="14"/>
    </row>
    <row r="85" spans="1:21" ht="45" customHeight="1">
      <c r="A85" s="9">
        <v>63</v>
      </c>
      <c r="B85" s="4" t="s">
        <v>64</v>
      </c>
      <c r="C85" s="4" t="s">
        <v>8</v>
      </c>
      <c r="D85" s="4" t="s">
        <v>235</v>
      </c>
      <c r="E85" s="10" t="s">
        <v>57</v>
      </c>
      <c r="F85" s="4">
        <v>58573604</v>
      </c>
      <c r="G85" s="4" t="s">
        <v>236</v>
      </c>
      <c r="H85" s="11">
        <v>46162</v>
      </c>
      <c r="I85" s="12">
        <v>12100</v>
      </c>
      <c r="J85" s="4"/>
      <c r="K85" s="4" t="s">
        <v>237</v>
      </c>
      <c r="L85" s="4"/>
      <c r="M85" s="4" t="s">
        <v>73</v>
      </c>
      <c r="N85" s="13" t="s">
        <v>238</v>
      </c>
      <c r="O85" s="4" t="s">
        <v>75</v>
      </c>
      <c r="P85" s="4" t="s">
        <v>55</v>
      </c>
      <c r="Q85" s="4" t="s">
        <v>17</v>
      </c>
      <c r="R85" s="4" t="s">
        <v>56</v>
      </c>
      <c r="S85" s="4"/>
      <c r="T85" s="11"/>
      <c r="U85" s="14"/>
    </row>
    <row r="86" spans="1:21" ht="45" hidden="1" customHeight="1">
      <c r="A86" s="9">
        <v>85</v>
      </c>
      <c r="B86" s="4" t="s">
        <v>64</v>
      </c>
      <c r="C86" s="4" t="s">
        <v>7</v>
      </c>
      <c r="D86" s="4" t="s">
        <v>277</v>
      </c>
      <c r="E86" s="10" t="s">
        <v>57</v>
      </c>
      <c r="F86" s="4">
        <v>58691585</v>
      </c>
      <c r="G86" s="4" t="s">
        <v>200</v>
      </c>
      <c r="H86" s="11">
        <v>46162</v>
      </c>
      <c r="I86" s="12">
        <v>52800</v>
      </c>
      <c r="J86" s="4"/>
      <c r="K86" s="4"/>
      <c r="L86" s="4"/>
      <c r="M86" s="4" t="s">
        <v>67</v>
      </c>
      <c r="N86" s="13" t="s">
        <v>278</v>
      </c>
      <c r="O86" s="4" t="s">
        <v>69</v>
      </c>
      <c r="P86" s="4" t="s">
        <v>55</v>
      </c>
      <c r="Q86" s="4" t="s">
        <v>17</v>
      </c>
      <c r="R86" s="4" t="s">
        <v>56</v>
      </c>
      <c r="S86" s="4"/>
      <c r="T86" s="11"/>
      <c r="U86" s="14"/>
    </row>
    <row r="87" spans="1:21" ht="45" hidden="1" customHeight="1">
      <c r="A87" s="9">
        <v>86</v>
      </c>
      <c r="B87" s="4" t="s">
        <v>64</v>
      </c>
      <c r="C87" s="4" t="s">
        <v>7</v>
      </c>
      <c r="D87" s="4" t="s">
        <v>279</v>
      </c>
      <c r="E87" s="10" t="s">
        <v>57</v>
      </c>
      <c r="F87" s="4">
        <v>58708849</v>
      </c>
      <c r="G87" s="4" t="s">
        <v>150</v>
      </c>
      <c r="H87" s="11">
        <v>46162</v>
      </c>
      <c r="I87" s="12">
        <v>17600</v>
      </c>
      <c r="J87" s="4"/>
      <c r="K87" s="4"/>
      <c r="L87" s="4"/>
      <c r="M87" s="4" t="s">
        <v>67</v>
      </c>
      <c r="N87" s="13" t="s">
        <v>280</v>
      </c>
      <c r="O87" s="4" t="s">
        <v>69</v>
      </c>
      <c r="P87" s="4" t="s">
        <v>55</v>
      </c>
      <c r="Q87" s="4" t="s">
        <v>17</v>
      </c>
      <c r="R87" s="4" t="s">
        <v>56</v>
      </c>
      <c r="S87" s="4"/>
      <c r="T87" s="11"/>
      <c r="U87" s="14"/>
    </row>
    <row r="88" spans="1:21" ht="45" customHeight="1">
      <c r="A88" s="9">
        <v>164</v>
      </c>
      <c r="B88" s="4" t="s">
        <v>64</v>
      </c>
      <c r="C88" s="4" t="s">
        <v>8</v>
      </c>
      <c r="D88" s="4" t="s">
        <v>504</v>
      </c>
      <c r="E88" s="10" t="s">
        <v>57</v>
      </c>
      <c r="F88" s="4">
        <v>63150540</v>
      </c>
      <c r="G88" s="4" t="s">
        <v>236</v>
      </c>
      <c r="H88" s="11">
        <v>46223</v>
      </c>
      <c r="I88" s="12">
        <v>12100</v>
      </c>
      <c r="J88" s="4"/>
      <c r="K88" s="4" t="s">
        <v>237</v>
      </c>
      <c r="L88" s="4"/>
      <c r="M88" s="4" t="s">
        <v>73</v>
      </c>
      <c r="N88" s="13" t="s">
        <v>238</v>
      </c>
      <c r="O88" s="4" t="s">
        <v>75</v>
      </c>
      <c r="P88" s="4" t="s">
        <v>55</v>
      </c>
      <c r="Q88" s="4" t="s">
        <v>17</v>
      </c>
      <c r="R88" s="4" t="s">
        <v>56</v>
      </c>
      <c r="S88" s="4"/>
      <c r="T88" s="11"/>
      <c r="U88" s="14"/>
    </row>
    <row r="89" spans="1:21" ht="45" hidden="1" customHeight="1">
      <c r="A89" s="9">
        <v>88</v>
      </c>
      <c r="B89" s="4" t="s">
        <v>64</v>
      </c>
      <c r="C89" s="4" t="s">
        <v>7</v>
      </c>
      <c r="D89" s="4" t="s">
        <v>285</v>
      </c>
      <c r="E89" s="10" t="s">
        <v>57</v>
      </c>
      <c r="F89" s="4">
        <v>58710933</v>
      </c>
      <c r="G89" s="4" t="s">
        <v>208</v>
      </c>
      <c r="H89" s="11">
        <v>46162</v>
      </c>
      <c r="I89" s="12">
        <v>198000</v>
      </c>
      <c r="J89" s="4"/>
      <c r="K89" s="4"/>
      <c r="L89" s="4"/>
      <c r="M89" s="4" t="s">
        <v>67</v>
      </c>
      <c r="N89" s="13" t="s">
        <v>286</v>
      </c>
      <c r="O89" s="4" t="s">
        <v>69</v>
      </c>
      <c r="P89" s="4" t="s">
        <v>55</v>
      </c>
      <c r="Q89" s="4" t="s">
        <v>17</v>
      </c>
      <c r="R89" s="4" t="s">
        <v>56</v>
      </c>
      <c r="S89" s="4"/>
      <c r="T89" s="11"/>
      <c r="U89" s="14"/>
    </row>
    <row r="90" spans="1:21" ht="45" hidden="1" customHeight="1">
      <c r="A90" s="9">
        <v>89</v>
      </c>
      <c r="B90" s="4" t="s">
        <v>64</v>
      </c>
      <c r="C90" s="4" t="s">
        <v>9</v>
      </c>
      <c r="D90" s="4" t="s">
        <v>287</v>
      </c>
      <c r="E90" s="10" t="s">
        <v>57</v>
      </c>
      <c r="F90" s="4">
        <v>58711460</v>
      </c>
      <c r="G90" s="4" t="s">
        <v>211</v>
      </c>
      <c r="H90" s="11">
        <v>46162</v>
      </c>
      <c r="I90" s="12">
        <v>291500</v>
      </c>
      <c r="J90" s="4"/>
      <c r="K90" s="4"/>
      <c r="L90" s="4"/>
      <c r="M90" s="4" t="s">
        <v>212</v>
      </c>
      <c r="N90" s="13" t="s">
        <v>288</v>
      </c>
      <c r="O90" s="4" t="s">
        <v>69</v>
      </c>
      <c r="P90" s="4" t="s">
        <v>55</v>
      </c>
      <c r="Q90" s="4" t="s">
        <v>17</v>
      </c>
      <c r="R90" s="4" t="s">
        <v>56</v>
      </c>
      <c r="S90" s="4"/>
      <c r="T90" s="11"/>
      <c r="U90" s="14"/>
    </row>
    <row r="91" spans="1:21" ht="45" customHeight="1">
      <c r="A91" s="9">
        <v>4</v>
      </c>
      <c r="B91" s="4" t="s">
        <v>64</v>
      </c>
      <c r="C91" s="4" t="s">
        <v>8</v>
      </c>
      <c r="D91" s="4" t="s">
        <v>70</v>
      </c>
      <c r="E91" s="10" t="s">
        <v>57</v>
      </c>
      <c r="F91" s="4">
        <v>54153832</v>
      </c>
      <c r="G91" s="4" t="s">
        <v>71</v>
      </c>
      <c r="H91" s="11">
        <v>46101</v>
      </c>
      <c r="I91" s="12">
        <v>12100</v>
      </c>
      <c r="J91" s="4"/>
      <c r="K91" s="4" t="s">
        <v>72</v>
      </c>
      <c r="L91" s="4"/>
      <c r="M91" s="4" t="s">
        <v>73</v>
      </c>
      <c r="N91" s="13" t="s">
        <v>74</v>
      </c>
      <c r="O91" s="4" t="s">
        <v>75</v>
      </c>
      <c r="P91" s="4" t="s">
        <v>55</v>
      </c>
      <c r="Q91" s="4" t="s">
        <v>17</v>
      </c>
      <c r="R91" s="4" t="s">
        <v>56</v>
      </c>
      <c r="S91" s="4"/>
      <c r="T91" s="11"/>
      <c r="U91" s="14"/>
    </row>
    <row r="92" spans="1:21" ht="45" hidden="1" customHeight="1">
      <c r="A92" s="9">
        <v>91</v>
      </c>
      <c r="B92" s="4" t="s">
        <v>64</v>
      </c>
      <c r="C92" s="4" t="s">
        <v>7</v>
      </c>
      <c r="D92" s="4" t="s">
        <v>293</v>
      </c>
      <c r="E92" s="10" t="s">
        <v>57</v>
      </c>
      <c r="F92" s="4">
        <v>58733986</v>
      </c>
      <c r="G92" s="4" t="s">
        <v>294</v>
      </c>
      <c r="H92" s="11">
        <v>46163</v>
      </c>
      <c r="I92" s="12">
        <v>33000</v>
      </c>
      <c r="J92" s="4"/>
      <c r="K92" s="4"/>
      <c r="L92" s="4"/>
      <c r="M92" s="4" t="s">
        <v>67</v>
      </c>
      <c r="N92" s="13" t="s">
        <v>295</v>
      </c>
      <c r="O92" s="4" t="s">
        <v>69</v>
      </c>
      <c r="P92" s="4" t="s">
        <v>55</v>
      </c>
      <c r="Q92" s="4" t="s">
        <v>17</v>
      </c>
      <c r="R92" s="4" t="s">
        <v>56</v>
      </c>
      <c r="S92" s="4"/>
      <c r="T92" s="11"/>
      <c r="U92" s="14"/>
    </row>
    <row r="93" spans="1:21" ht="45" hidden="1" customHeight="1">
      <c r="A93" s="9">
        <v>92</v>
      </c>
      <c r="B93" s="4" t="s">
        <v>47</v>
      </c>
      <c r="C93" s="4" t="s">
        <v>11</v>
      </c>
      <c r="D93" s="4" t="s">
        <v>296</v>
      </c>
      <c r="E93" s="10" t="s">
        <v>57</v>
      </c>
      <c r="F93" s="4">
        <v>58940950</v>
      </c>
      <c r="G93" s="4" t="s">
        <v>297</v>
      </c>
      <c r="H93" s="11">
        <v>46164</v>
      </c>
      <c r="I93" s="12">
        <v>165000</v>
      </c>
      <c r="J93" s="4"/>
      <c r="K93" s="4" t="s">
        <v>298</v>
      </c>
      <c r="L93" s="4" t="s">
        <v>299</v>
      </c>
      <c r="M93" s="4" t="s">
        <v>52</v>
      </c>
      <c r="N93" s="13" t="s">
        <v>300</v>
      </c>
      <c r="O93" s="4" t="s">
        <v>54</v>
      </c>
      <c r="P93" s="4" t="s">
        <v>55</v>
      </c>
      <c r="Q93" s="4" t="s">
        <v>17</v>
      </c>
      <c r="R93" s="4" t="s">
        <v>56</v>
      </c>
      <c r="S93" s="4"/>
      <c r="T93" s="11"/>
      <c r="U93" s="14"/>
    </row>
    <row r="94" spans="1:21" ht="45" hidden="1" customHeight="1">
      <c r="A94" s="9">
        <v>93</v>
      </c>
      <c r="B94" s="4" t="s">
        <v>64</v>
      </c>
      <c r="C94" s="4" t="s">
        <v>7</v>
      </c>
      <c r="D94" s="4" t="s">
        <v>301</v>
      </c>
      <c r="E94" s="10" t="s">
        <v>57</v>
      </c>
      <c r="F94" s="4">
        <v>58810995</v>
      </c>
      <c r="G94" s="4" t="s">
        <v>302</v>
      </c>
      <c r="H94" s="11">
        <v>46192</v>
      </c>
      <c r="I94" s="12">
        <v>33000</v>
      </c>
      <c r="J94" s="4"/>
      <c r="K94" s="4"/>
      <c r="L94" s="4"/>
      <c r="M94" s="4" t="s">
        <v>67</v>
      </c>
      <c r="N94" s="13" t="s">
        <v>303</v>
      </c>
      <c r="O94" s="4" t="s">
        <v>69</v>
      </c>
      <c r="P94" s="4" t="s">
        <v>55</v>
      </c>
      <c r="Q94" s="4" t="s">
        <v>17</v>
      </c>
      <c r="R94" s="4" t="s">
        <v>56</v>
      </c>
      <c r="S94" s="4"/>
      <c r="T94" s="11"/>
      <c r="U94" s="14"/>
    </row>
    <row r="95" spans="1:21" ht="45" hidden="1" customHeight="1">
      <c r="A95" s="9">
        <v>94</v>
      </c>
      <c r="B95" s="4" t="s">
        <v>47</v>
      </c>
      <c r="C95" s="4" t="s">
        <v>12</v>
      </c>
      <c r="D95" s="4" t="s">
        <v>304</v>
      </c>
      <c r="E95" s="10" t="s">
        <v>57</v>
      </c>
      <c r="F95" s="4">
        <v>59151137</v>
      </c>
      <c r="G95" s="4" t="s">
        <v>305</v>
      </c>
      <c r="H95" s="11">
        <v>46192</v>
      </c>
      <c r="I95" s="12">
        <v>52800</v>
      </c>
      <c r="J95" s="4"/>
      <c r="K95" s="4" t="s">
        <v>306</v>
      </c>
      <c r="L95" s="4" t="s">
        <v>307</v>
      </c>
      <c r="M95" s="4" t="s">
        <v>308</v>
      </c>
      <c r="N95" s="13" t="s">
        <v>309</v>
      </c>
      <c r="O95" s="4" t="s">
        <v>54</v>
      </c>
      <c r="P95" s="4" t="s">
        <v>55</v>
      </c>
      <c r="Q95" s="4" t="s">
        <v>17</v>
      </c>
      <c r="R95" s="4" t="s">
        <v>56</v>
      </c>
      <c r="S95" s="4"/>
      <c r="T95" s="11"/>
      <c r="U95" s="14"/>
    </row>
    <row r="96" spans="1:21" ht="45" hidden="1" customHeight="1">
      <c r="A96" s="9">
        <v>95</v>
      </c>
      <c r="B96" s="4" t="s">
        <v>64</v>
      </c>
      <c r="C96" s="4" t="s">
        <v>7</v>
      </c>
      <c r="D96" s="4" t="s">
        <v>310</v>
      </c>
      <c r="E96" s="10" t="s">
        <v>57</v>
      </c>
      <c r="F96" s="4">
        <v>60979452</v>
      </c>
      <c r="G96" s="4" t="s">
        <v>311</v>
      </c>
      <c r="H96" s="11">
        <v>46192</v>
      </c>
      <c r="I96" s="12">
        <v>26400</v>
      </c>
      <c r="J96" s="4"/>
      <c r="K96" s="4"/>
      <c r="L96" s="4" t="s">
        <v>312</v>
      </c>
      <c r="M96" s="4" t="s">
        <v>67</v>
      </c>
      <c r="N96" s="13" t="s">
        <v>313</v>
      </c>
      <c r="O96" s="4" t="s">
        <v>69</v>
      </c>
      <c r="P96" s="4" t="s">
        <v>55</v>
      </c>
      <c r="Q96" s="4" t="s">
        <v>17</v>
      </c>
      <c r="R96" s="4" t="s">
        <v>56</v>
      </c>
      <c r="S96" s="4"/>
      <c r="T96" s="11"/>
      <c r="U96" s="14"/>
    </row>
    <row r="97" spans="1:21" ht="45" hidden="1" customHeight="1">
      <c r="A97" s="9">
        <v>96</v>
      </c>
      <c r="B97" s="4" t="s">
        <v>47</v>
      </c>
      <c r="C97" s="4" t="s">
        <v>11</v>
      </c>
      <c r="D97" s="4" t="s">
        <v>314</v>
      </c>
      <c r="E97" s="10" t="s">
        <v>57</v>
      </c>
      <c r="F97" s="4">
        <v>60861151</v>
      </c>
      <c r="G97" s="4" t="s">
        <v>315</v>
      </c>
      <c r="H97" s="11">
        <v>46193</v>
      </c>
      <c r="I97" s="12">
        <v>12100</v>
      </c>
      <c r="J97" s="4"/>
      <c r="K97" s="4" t="s">
        <v>316</v>
      </c>
      <c r="L97" s="4" t="s">
        <v>317</v>
      </c>
      <c r="M97" s="4" t="s">
        <v>52</v>
      </c>
      <c r="N97" s="13" t="s">
        <v>318</v>
      </c>
      <c r="O97" s="4" t="s">
        <v>54</v>
      </c>
      <c r="P97" s="4" t="s">
        <v>55</v>
      </c>
      <c r="Q97" s="4" t="s">
        <v>17</v>
      </c>
      <c r="R97" s="4" t="s">
        <v>56</v>
      </c>
      <c r="S97" s="4"/>
      <c r="T97" s="11"/>
      <c r="U97" s="14"/>
    </row>
    <row r="98" spans="1:21" ht="45" hidden="1" customHeight="1">
      <c r="A98" s="9">
        <v>97</v>
      </c>
      <c r="B98" s="4" t="s">
        <v>64</v>
      </c>
      <c r="C98" s="4" t="s">
        <v>7</v>
      </c>
      <c r="D98" s="4" t="s">
        <v>319</v>
      </c>
      <c r="E98" s="10" t="s">
        <v>57</v>
      </c>
      <c r="F98" s="4">
        <v>60792923</v>
      </c>
      <c r="G98" s="4" t="s">
        <v>211</v>
      </c>
      <c r="H98" s="11">
        <v>46193</v>
      </c>
      <c r="I98" s="12">
        <v>324500</v>
      </c>
      <c r="J98" s="4"/>
      <c r="K98" s="4"/>
      <c r="L98" s="4"/>
      <c r="M98" s="4" t="s">
        <v>67</v>
      </c>
      <c r="N98" s="13" t="s">
        <v>320</v>
      </c>
      <c r="O98" s="4" t="s">
        <v>69</v>
      </c>
      <c r="P98" s="4" t="s">
        <v>55</v>
      </c>
      <c r="Q98" s="4" t="s">
        <v>17</v>
      </c>
      <c r="R98" s="4" t="s">
        <v>56</v>
      </c>
      <c r="S98" s="4"/>
      <c r="T98" s="11"/>
      <c r="U98" s="14"/>
    </row>
    <row r="99" spans="1:21" ht="45" hidden="1" customHeight="1">
      <c r="A99" s="9">
        <v>98</v>
      </c>
      <c r="B99" s="4" t="s">
        <v>47</v>
      </c>
      <c r="C99" s="4" t="s">
        <v>11</v>
      </c>
      <c r="D99" s="4" t="s">
        <v>321</v>
      </c>
      <c r="E99" s="10" t="s">
        <v>57</v>
      </c>
      <c r="F99" s="4">
        <v>60861149</v>
      </c>
      <c r="G99" s="4" t="s">
        <v>322</v>
      </c>
      <c r="H99" s="11">
        <v>46193</v>
      </c>
      <c r="I99" s="12">
        <v>12100</v>
      </c>
      <c r="J99" s="4"/>
      <c r="K99" s="4" t="s">
        <v>323</v>
      </c>
      <c r="L99" s="4" t="s">
        <v>324</v>
      </c>
      <c r="M99" s="4" t="s">
        <v>52</v>
      </c>
      <c r="N99" s="13" t="s">
        <v>325</v>
      </c>
      <c r="O99" s="4" t="s">
        <v>54</v>
      </c>
      <c r="P99" s="4" t="s">
        <v>55</v>
      </c>
      <c r="Q99" s="4" t="s">
        <v>17</v>
      </c>
      <c r="R99" s="4" t="s">
        <v>56</v>
      </c>
      <c r="S99" s="4"/>
      <c r="T99" s="11"/>
      <c r="U99" s="14"/>
    </row>
    <row r="100" spans="1:21" ht="45" hidden="1" customHeight="1">
      <c r="A100" s="9">
        <v>99</v>
      </c>
      <c r="B100" s="4" t="s">
        <v>47</v>
      </c>
      <c r="C100" s="4" t="s">
        <v>10</v>
      </c>
      <c r="D100" s="4" t="s">
        <v>326</v>
      </c>
      <c r="E100" s="10" t="s">
        <v>57</v>
      </c>
      <c r="F100" s="4">
        <v>60861153</v>
      </c>
      <c r="G100" s="4" t="s">
        <v>236</v>
      </c>
      <c r="H100" s="11">
        <v>46193</v>
      </c>
      <c r="I100" s="12">
        <v>12100</v>
      </c>
      <c r="J100" s="4"/>
      <c r="K100" s="4" t="s">
        <v>237</v>
      </c>
      <c r="L100" s="4" t="s">
        <v>327</v>
      </c>
      <c r="M100" s="4" t="s">
        <v>62</v>
      </c>
      <c r="N100" s="13" t="s">
        <v>328</v>
      </c>
      <c r="O100" s="4" t="s">
        <v>54</v>
      </c>
      <c r="P100" s="4" t="s">
        <v>55</v>
      </c>
      <c r="Q100" s="4" t="s">
        <v>17</v>
      </c>
      <c r="R100" s="4" t="s">
        <v>56</v>
      </c>
      <c r="S100" s="4"/>
      <c r="T100" s="11"/>
      <c r="U100" s="14"/>
    </row>
    <row r="101" spans="1:21" ht="45" hidden="1" customHeight="1">
      <c r="A101" s="9">
        <v>100</v>
      </c>
      <c r="B101" s="4" t="s">
        <v>64</v>
      </c>
      <c r="C101" s="4" t="s">
        <v>7</v>
      </c>
      <c r="D101" s="4" t="s">
        <v>329</v>
      </c>
      <c r="E101" s="10" t="s">
        <v>57</v>
      </c>
      <c r="F101" s="4">
        <v>60861154</v>
      </c>
      <c r="G101" s="4" t="s">
        <v>240</v>
      </c>
      <c r="H101" s="11">
        <v>46193</v>
      </c>
      <c r="I101" s="12">
        <v>12100</v>
      </c>
      <c r="J101" s="4"/>
      <c r="K101" s="4"/>
      <c r="L101" s="4"/>
      <c r="M101" s="4" t="s">
        <v>67</v>
      </c>
      <c r="N101" s="13" t="s">
        <v>330</v>
      </c>
      <c r="O101" s="4" t="s">
        <v>69</v>
      </c>
      <c r="P101" s="4" t="s">
        <v>55</v>
      </c>
      <c r="Q101" s="4" t="s">
        <v>17</v>
      </c>
      <c r="R101" s="4" t="s">
        <v>56</v>
      </c>
      <c r="S101" s="4"/>
      <c r="T101" s="11"/>
      <c r="U101" s="14"/>
    </row>
    <row r="102" spans="1:21" ht="45" hidden="1" customHeight="1">
      <c r="A102" s="9">
        <v>101</v>
      </c>
      <c r="B102" s="4" t="s">
        <v>64</v>
      </c>
      <c r="C102" s="4" t="s">
        <v>7</v>
      </c>
      <c r="D102" s="4" t="s">
        <v>331</v>
      </c>
      <c r="E102" s="10" t="s">
        <v>57</v>
      </c>
      <c r="F102" s="4">
        <v>60861155</v>
      </c>
      <c r="G102" s="4" t="s">
        <v>66</v>
      </c>
      <c r="H102" s="11">
        <v>46193</v>
      </c>
      <c r="I102" s="12">
        <v>12100</v>
      </c>
      <c r="J102" s="4"/>
      <c r="K102" s="4"/>
      <c r="L102" s="4"/>
      <c r="M102" s="4" t="s">
        <v>67</v>
      </c>
      <c r="N102" s="13" t="s">
        <v>332</v>
      </c>
      <c r="O102" s="4" t="s">
        <v>69</v>
      </c>
      <c r="P102" s="4" t="s">
        <v>55</v>
      </c>
      <c r="Q102" s="4" t="s">
        <v>17</v>
      </c>
      <c r="R102" s="4" t="s">
        <v>56</v>
      </c>
      <c r="S102" s="4"/>
      <c r="T102" s="11"/>
      <c r="U102" s="14"/>
    </row>
    <row r="103" spans="1:21" ht="45" hidden="1" customHeight="1">
      <c r="A103" s="9">
        <v>102</v>
      </c>
      <c r="B103" s="4" t="s">
        <v>47</v>
      </c>
      <c r="C103" s="4" t="s">
        <v>11</v>
      </c>
      <c r="D103" s="4" t="s">
        <v>333</v>
      </c>
      <c r="E103" s="10" t="s">
        <v>57</v>
      </c>
      <c r="F103" s="4">
        <v>60861156</v>
      </c>
      <c r="G103" s="4" t="s">
        <v>334</v>
      </c>
      <c r="H103" s="11">
        <v>46193</v>
      </c>
      <c r="I103" s="12">
        <v>12100</v>
      </c>
      <c r="J103" s="4"/>
      <c r="K103" s="4" t="s">
        <v>335</v>
      </c>
      <c r="L103" s="4" t="s">
        <v>336</v>
      </c>
      <c r="M103" s="4" t="s">
        <v>52</v>
      </c>
      <c r="N103" s="13" t="s">
        <v>337</v>
      </c>
      <c r="O103" s="4" t="s">
        <v>54</v>
      </c>
      <c r="P103" s="4" t="s">
        <v>55</v>
      </c>
      <c r="Q103" s="4" t="s">
        <v>17</v>
      </c>
      <c r="R103" s="4" t="s">
        <v>56</v>
      </c>
      <c r="S103" s="4"/>
      <c r="T103" s="11"/>
      <c r="U103" s="14"/>
    </row>
    <row r="104" spans="1:21" ht="45" hidden="1" customHeight="1">
      <c r="A104" s="9">
        <v>103</v>
      </c>
      <c r="B104" s="4" t="s">
        <v>47</v>
      </c>
      <c r="C104" s="4" t="s">
        <v>10</v>
      </c>
      <c r="D104" s="4" t="s">
        <v>338</v>
      </c>
      <c r="E104" s="10" t="s">
        <v>57</v>
      </c>
      <c r="F104" s="4">
        <v>60861157</v>
      </c>
      <c r="G104" s="4" t="s">
        <v>71</v>
      </c>
      <c r="H104" s="11">
        <v>46193</v>
      </c>
      <c r="I104" s="12">
        <v>12100</v>
      </c>
      <c r="J104" s="4"/>
      <c r="K104" s="4" t="s">
        <v>72</v>
      </c>
      <c r="L104" s="4" t="s">
        <v>339</v>
      </c>
      <c r="M104" s="4" t="s">
        <v>62</v>
      </c>
      <c r="N104" s="13" t="s">
        <v>340</v>
      </c>
      <c r="O104" s="4" t="s">
        <v>54</v>
      </c>
      <c r="P104" s="4" t="s">
        <v>55</v>
      </c>
      <c r="Q104" s="4" t="s">
        <v>17</v>
      </c>
      <c r="R104" s="4" t="s">
        <v>56</v>
      </c>
      <c r="S104" s="4"/>
      <c r="T104" s="11"/>
      <c r="U104" s="14"/>
    </row>
    <row r="105" spans="1:21" ht="45" hidden="1" customHeight="1">
      <c r="A105" s="9">
        <v>104</v>
      </c>
      <c r="B105" s="4" t="s">
        <v>64</v>
      </c>
      <c r="C105" s="4" t="s">
        <v>7</v>
      </c>
      <c r="D105" s="4" t="s">
        <v>341</v>
      </c>
      <c r="E105" s="10" t="s">
        <v>57</v>
      </c>
      <c r="F105" s="4">
        <v>60861159</v>
      </c>
      <c r="G105" s="4" t="s">
        <v>77</v>
      </c>
      <c r="H105" s="11">
        <v>46193</v>
      </c>
      <c r="I105" s="12">
        <v>12100</v>
      </c>
      <c r="J105" s="4"/>
      <c r="K105" s="4"/>
      <c r="L105" s="4"/>
      <c r="M105" s="4" t="s">
        <v>67</v>
      </c>
      <c r="N105" s="13" t="s">
        <v>342</v>
      </c>
      <c r="O105" s="4" t="s">
        <v>69</v>
      </c>
      <c r="P105" s="4" t="s">
        <v>55</v>
      </c>
      <c r="Q105" s="4" t="s">
        <v>17</v>
      </c>
      <c r="R105" s="4" t="s">
        <v>56</v>
      </c>
      <c r="S105" s="4"/>
      <c r="T105" s="11"/>
      <c r="U105" s="14"/>
    </row>
    <row r="106" spans="1:21" ht="45" customHeight="1">
      <c r="A106" s="9">
        <v>8</v>
      </c>
      <c r="B106" s="4" t="s">
        <v>64</v>
      </c>
      <c r="C106" s="4" t="s">
        <v>8</v>
      </c>
      <c r="D106" s="4" t="s">
        <v>89</v>
      </c>
      <c r="E106" s="10" t="s">
        <v>57</v>
      </c>
      <c r="F106" s="4">
        <v>54153838</v>
      </c>
      <c r="G106" s="4" t="s">
        <v>90</v>
      </c>
      <c r="H106" s="11">
        <v>46101</v>
      </c>
      <c r="I106" s="12">
        <v>12100</v>
      </c>
      <c r="J106" s="4"/>
      <c r="K106" s="4" t="s">
        <v>91</v>
      </c>
      <c r="L106" s="4"/>
      <c r="M106" s="4" t="s">
        <v>73</v>
      </c>
      <c r="N106" s="13" t="s">
        <v>74</v>
      </c>
      <c r="O106" s="4" t="s">
        <v>75</v>
      </c>
      <c r="P106" s="4" t="s">
        <v>55</v>
      </c>
      <c r="Q106" s="4" t="s">
        <v>17</v>
      </c>
      <c r="R106" s="4" t="s">
        <v>56</v>
      </c>
      <c r="S106" s="4"/>
      <c r="T106" s="11"/>
      <c r="U106" s="14"/>
    </row>
    <row r="107" spans="1:21" ht="45" hidden="1" customHeight="1">
      <c r="A107" s="9">
        <v>106</v>
      </c>
      <c r="B107" s="4" t="s">
        <v>47</v>
      </c>
      <c r="C107" s="4" t="s">
        <v>11</v>
      </c>
      <c r="D107" s="4" t="s">
        <v>344</v>
      </c>
      <c r="E107" s="10" t="s">
        <v>57</v>
      </c>
      <c r="F107" s="4">
        <v>60861162</v>
      </c>
      <c r="G107" s="4" t="s">
        <v>345</v>
      </c>
      <c r="H107" s="11">
        <v>46193</v>
      </c>
      <c r="I107" s="12">
        <v>36300</v>
      </c>
      <c r="J107" s="4"/>
      <c r="K107" s="4" t="s">
        <v>346</v>
      </c>
      <c r="L107" s="4" t="s">
        <v>347</v>
      </c>
      <c r="M107" s="4" t="s">
        <v>52</v>
      </c>
      <c r="N107" s="13" t="s">
        <v>348</v>
      </c>
      <c r="O107" s="4" t="s">
        <v>54</v>
      </c>
      <c r="P107" s="4" t="s">
        <v>55</v>
      </c>
      <c r="Q107" s="4" t="s">
        <v>17</v>
      </c>
      <c r="R107" s="4" t="s">
        <v>56</v>
      </c>
      <c r="S107" s="4"/>
      <c r="T107" s="11"/>
      <c r="U107" s="14"/>
    </row>
    <row r="108" spans="1:21" ht="45" hidden="1" customHeight="1">
      <c r="A108" s="9">
        <v>107</v>
      </c>
      <c r="B108" s="4" t="s">
        <v>47</v>
      </c>
      <c r="C108" s="4" t="s">
        <v>10</v>
      </c>
      <c r="D108" s="4" t="s">
        <v>349</v>
      </c>
      <c r="E108" s="10" t="s">
        <v>57</v>
      </c>
      <c r="F108" s="4">
        <v>60861164</v>
      </c>
      <c r="G108" s="4" t="s">
        <v>90</v>
      </c>
      <c r="H108" s="11">
        <v>46193</v>
      </c>
      <c r="I108" s="12">
        <v>12100</v>
      </c>
      <c r="J108" s="4"/>
      <c r="K108" s="4" t="s">
        <v>91</v>
      </c>
      <c r="L108" s="4" t="s">
        <v>350</v>
      </c>
      <c r="M108" s="4" t="s">
        <v>62</v>
      </c>
      <c r="N108" s="13" t="s">
        <v>340</v>
      </c>
      <c r="O108" s="4" t="s">
        <v>54</v>
      </c>
      <c r="P108" s="4" t="s">
        <v>55</v>
      </c>
      <c r="Q108" s="4" t="s">
        <v>17</v>
      </c>
      <c r="R108" s="4" t="s">
        <v>56</v>
      </c>
      <c r="S108" s="4"/>
      <c r="T108" s="11"/>
      <c r="U108" s="14"/>
    </row>
    <row r="109" spans="1:21" ht="45" hidden="1" customHeight="1">
      <c r="A109" s="9">
        <v>108</v>
      </c>
      <c r="B109" s="4" t="s">
        <v>47</v>
      </c>
      <c r="C109" s="4" t="s">
        <v>10</v>
      </c>
      <c r="D109" s="4" t="s">
        <v>351</v>
      </c>
      <c r="E109" s="10" t="s">
        <v>57</v>
      </c>
      <c r="F109" s="4">
        <v>60861166</v>
      </c>
      <c r="G109" s="4" t="s">
        <v>96</v>
      </c>
      <c r="H109" s="11">
        <v>46193</v>
      </c>
      <c r="I109" s="12">
        <v>12100</v>
      </c>
      <c r="J109" s="4"/>
      <c r="K109" s="4" t="s">
        <v>97</v>
      </c>
      <c r="L109" s="4" t="s">
        <v>352</v>
      </c>
      <c r="M109" s="4" t="s">
        <v>62</v>
      </c>
      <c r="N109" s="13" t="s">
        <v>340</v>
      </c>
      <c r="O109" s="4" t="s">
        <v>54</v>
      </c>
      <c r="P109" s="4" t="s">
        <v>55</v>
      </c>
      <c r="Q109" s="4" t="s">
        <v>17</v>
      </c>
      <c r="R109" s="4" t="s">
        <v>56</v>
      </c>
      <c r="S109" s="4"/>
      <c r="T109" s="11"/>
      <c r="U109" s="14"/>
    </row>
    <row r="110" spans="1:21" ht="45" hidden="1" customHeight="1">
      <c r="A110" s="9">
        <v>109</v>
      </c>
      <c r="B110" s="4" t="s">
        <v>64</v>
      </c>
      <c r="C110" s="4" t="s">
        <v>7</v>
      </c>
      <c r="D110" s="4" t="s">
        <v>353</v>
      </c>
      <c r="E110" s="10" t="s">
        <v>57</v>
      </c>
      <c r="F110" s="4">
        <v>60861167</v>
      </c>
      <c r="G110" s="4" t="s">
        <v>99</v>
      </c>
      <c r="H110" s="11">
        <v>46193</v>
      </c>
      <c r="I110" s="12">
        <v>8800</v>
      </c>
      <c r="J110" s="4"/>
      <c r="K110" s="4"/>
      <c r="L110" s="4"/>
      <c r="M110" s="4" t="s">
        <v>67</v>
      </c>
      <c r="N110" s="13" t="s">
        <v>354</v>
      </c>
      <c r="O110" s="4" t="s">
        <v>69</v>
      </c>
      <c r="P110" s="4" t="s">
        <v>55</v>
      </c>
      <c r="Q110" s="4" t="s">
        <v>17</v>
      </c>
      <c r="R110" s="4" t="s">
        <v>56</v>
      </c>
      <c r="S110" s="4"/>
      <c r="T110" s="11"/>
      <c r="U110" s="14"/>
    </row>
    <row r="111" spans="1:21" ht="45" hidden="1" customHeight="1">
      <c r="A111" s="9">
        <v>110</v>
      </c>
      <c r="B111" s="4" t="s">
        <v>64</v>
      </c>
      <c r="C111" s="4" t="s">
        <v>7</v>
      </c>
      <c r="D111" s="4" t="s">
        <v>355</v>
      </c>
      <c r="E111" s="10" t="s">
        <v>57</v>
      </c>
      <c r="F111" s="4">
        <v>60861169</v>
      </c>
      <c r="G111" s="4" t="s">
        <v>102</v>
      </c>
      <c r="H111" s="11">
        <v>46193</v>
      </c>
      <c r="I111" s="12">
        <v>12100</v>
      </c>
      <c r="J111" s="4"/>
      <c r="K111" s="4"/>
      <c r="L111" s="4"/>
      <c r="M111" s="4" t="s">
        <v>67</v>
      </c>
      <c r="N111" s="13" t="s">
        <v>356</v>
      </c>
      <c r="O111" s="4" t="s">
        <v>69</v>
      </c>
      <c r="P111" s="4" t="s">
        <v>55</v>
      </c>
      <c r="Q111" s="4" t="s">
        <v>17</v>
      </c>
      <c r="R111" s="4" t="s">
        <v>56</v>
      </c>
      <c r="S111" s="4"/>
      <c r="T111" s="11"/>
      <c r="U111" s="14"/>
    </row>
    <row r="112" spans="1:21" ht="45" hidden="1" customHeight="1">
      <c r="A112" s="9">
        <v>111</v>
      </c>
      <c r="B112" s="4" t="s">
        <v>64</v>
      </c>
      <c r="C112" s="4" t="s">
        <v>7</v>
      </c>
      <c r="D112" s="4" t="s">
        <v>357</v>
      </c>
      <c r="E112" s="10" t="s">
        <v>57</v>
      </c>
      <c r="F112" s="4">
        <v>60861170</v>
      </c>
      <c r="G112" s="4" t="s">
        <v>105</v>
      </c>
      <c r="H112" s="11">
        <v>46193</v>
      </c>
      <c r="I112" s="12">
        <v>48400</v>
      </c>
      <c r="J112" s="4"/>
      <c r="K112" s="4"/>
      <c r="L112" s="4"/>
      <c r="M112" s="4" t="s">
        <v>67</v>
      </c>
      <c r="N112" s="13" t="s">
        <v>358</v>
      </c>
      <c r="O112" s="4" t="s">
        <v>69</v>
      </c>
      <c r="P112" s="4" t="s">
        <v>55</v>
      </c>
      <c r="Q112" s="4" t="s">
        <v>17</v>
      </c>
      <c r="R112" s="4" t="s">
        <v>56</v>
      </c>
      <c r="S112" s="4"/>
      <c r="T112" s="11"/>
      <c r="U112" s="14"/>
    </row>
    <row r="113" spans="1:21" ht="45" hidden="1" customHeight="1">
      <c r="A113" s="9">
        <v>112</v>
      </c>
      <c r="B113" s="4" t="s">
        <v>64</v>
      </c>
      <c r="C113" s="4" t="s">
        <v>7</v>
      </c>
      <c r="D113" s="4" t="s">
        <v>359</v>
      </c>
      <c r="E113" s="10" t="s">
        <v>57</v>
      </c>
      <c r="F113" s="4">
        <v>60861171</v>
      </c>
      <c r="G113" s="4" t="s">
        <v>108</v>
      </c>
      <c r="H113" s="11">
        <v>46193</v>
      </c>
      <c r="I113" s="12">
        <v>8800</v>
      </c>
      <c r="J113" s="4"/>
      <c r="K113" s="4"/>
      <c r="L113" s="4"/>
      <c r="M113" s="4" t="s">
        <v>67</v>
      </c>
      <c r="N113" s="13" t="s">
        <v>360</v>
      </c>
      <c r="O113" s="4" t="s">
        <v>69</v>
      </c>
      <c r="P113" s="4" t="s">
        <v>55</v>
      </c>
      <c r="Q113" s="4" t="s">
        <v>17</v>
      </c>
      <c r="R113" s="4" t="s">
        <v>56</v>
      </c>
      <c r="S113" s="4"/>
      <c r="T113" s="11"/>
      <c r="U113" s="14"/>
    </row>
    <row r="114" spans="1:21" ht="45" hidden="1" customHeight="1">
      <c r="A114" s="9">
        <v>113</v>
      </c>
      <c r="B114" s="4" t="s">
        <v>64</v>
      </c>
      <c r="C114" s="4" t="s">
        <v>7</v>
      </c>
      <c r="D114" s="4" t="s">
        <v>361</v>
      </c>
      <c r="E114" s="10" t="s">
        <v>57</v>
      </c>
      <c r="F114" s="4">
        <v>60861173</v>
      </c>
      <c r="G114" s="4" t="s">
        <v>362</v>
      </c>
      <c r="H114" s="11">
        <v>46193</v>
      </c>
      <c r="I114" s="12">
        <v>181500</v>
      </c>
      <c r="J114" s="4"/>
      <c r="K114" s="4"/>
      <c r="L114" s="4"/>
      <c r="M114" s="4" t="s">
        <v>67</v>
      </c>
      <c r="N114" s="13" t="s">
        <v>363</v>
      </c>
      <c r="O114" s="4" t="s">
        <v>69</v>
      </c>
      <c r="P114" s="4" t="s">
        <v>55</v>
      </c>
      <c r="Q114" s="4" t="s">
        <v>17</v>
      </c>
      <c r="R114" s="4" t="s">
        <v>56</v>
      </c>
      <c r="S114" s="4"/>
      <c r="T114" s="11"/>
      <c r="U114" s="14"/>
    </row>
    <row r="115" spans="1:21" ht="45" hidden="1" customHeight="1">
      <c r="A115" s="9">
        <v>114</v>
      </c>
      <c r="B115" s="4" t="s">
        <v>47</v>
      </c>
      <c r="C115" s="4" t="s">
        <v>10</v>
      </c>
      <c r="D115" s="4" t="s">
        <v>364</v>
      </c>
      <c r="E115" s="10" t="s">
        <v>57</v>
      </c>
      <c r="F115" s="4">
        <v>60861177</v>
      </c>
      <c r="G115" s="4" t="s">
        <v>365</v>
      </c>
      <c r="H115" s="11">
        <v>46193</v>
      </c>
      <c r="I115" s="12">
        <v>60500</v>
      </c>
      <c r="J115" s="4"/>
      <c r="K115" s="4" t="s">
        <v>366</v>
      </c>
      <c r="L115" s="4" t="s">
        <v>367</v>
      </c>
      <c r="M115" s="4" t="s">
        <v>62</v>
      </c>
      <c r="N115" s="13" t="s">
        <v>368</v>
      </c>
      <c r="O115" s="4" t="s">
        <v>54</v>
      </c>
      <c r="P115" s="4" t="s">
        <v>55</v>
      </c>
      <c r="Q115" s="4" t="s">
        <v>17</v>
      </c>
      <c r="R115" s="4" t="s">
        <v>56</v>
      </c>
      <c r="S115" s="4"/>
      <c r="T115" s="11"/>
      <c r="U115" s="14"/>
    </row>
    <row r="116" spans="1:21" ht="45" hidden="1" customHeight="1">
      <c r="A116" s="9">
        <v>115</v>
      </c>
      <c r="B116" s="4" t="s">
        <v>64</v>
      </c>
      <c r="C116" s="4" t="s">
        <v>7</v>
      </c>
      <c r="D116" s="4" t="s">
        <v>369</v>
      </c>
      <c r="E116" s="10" t="s">
        <v>57</v>
      </c>
      <c r="F116" s="4">
        <v>60861179</v>
      </c>
      <c r="G116" s="4" t="s">
        <v>121</v>
      </c>
      <c r="H116" s="11">
        <v>46193</v>
      </c>
      <c r="I116" s="12">
        <v>8800</v>
      </c>
      <c r="J116" s="4"/>
      <c r="K116" s="4"/>
      <c r="L116" s="4"/>
      <c r="M116" s="4" t="s">
        <v>67</v>
      </c>
      <c r="N116" s="13" t="s">
        <v>370</v>
      </c>
      <c r="O116" s="4" t="s">
        <v>69</v>
      </c>
      <c r="P116" s="4" t="s">
        <v>55</v>
      </c>
      <c r="Q116" s="4" t="s">
        <v>17</v>
      </c>
      <c r="R116" s="4" t="s">
        <v>56</v>
      </c>
      <c r="S116" s="4"/>
      <c r="T116" s="11"/>
      <c r="U116" s="14"/>
    </row>
    <row r="117" spans="1:21" ht="45" hidden="1" customHeight="1">
      <c r="A117" s="9">
        <v>116</v>
      </c>
      <c r="B117" s="4" t="s">
        <v>64</v>
      </c>
      <c r="C117" s="4" t="s">
        <v>7</v>
      </c>
      <c r="D117" s="4" t="s">
        <v>371</v>
      </c>
      <c r="E117" s="10" t="s">
        <v>57</v>
      </c>
      <c r="F117" s="4">
        <v>60861181</v>
      </c>
      <c r="G117" s="4" t="s">
        <v>127</v>
      </c>
      <c r="H117" s="11">
        <v>46193</v>
      </c>
      <c r="I117" s="12">
        <v>48400</v>
      </c>
      <c r="J117" s="4"/>
      <c r="K117" s="4"/>
      <c r="L117" s="4"/>
      <c r="M117" s="4" t="s">
        <v>67</v>
      </c>
      <c r="N117" s="13" t="s">
        <v>372</v>
      </c>
      <c r="O117" s="4" t="s">
        <v>69</v>
      </c>
      <c r="P117" s="4" t="s">
        <v>55</v>
      </c>
      <c r="Q117" s="4" t="s">
        <v>17</v>
      </c>
      <c r="R117" s="4" t="s">
        <v>56</v>
      </c>
      <c r="S117" s="4"/>
      <c r="T117" s="11"/>
      <c r="U117" s="14"/>
    </row>
    <row r="118" spans="1:21" ht="45" hidden="1" customHeight="1">
      <c r="A118" s="9">
        <v>117</v>
      </c>
      <c r="B118" s="4" t="s">
        <v>47</v>
      </c>
      <c r="C118" s="4" t="s">
        <v>10</v>
      </c>
      <c r="D118" s="4" t="s">
        <v>373</v>
      </c>
      <c r="E118" s="10" t="s">
        <v>57</v>
      </c>
      <c r="F118" s="4">
        <v>60861183</v>
      </c>
      <c r="G118" s="4" t="s">
        <v>374</v>
      </c>
      <c r="H118" s="11">
        <v>46193</v>
      </c>
      <c r="I118" s="12">
        <v>12100</v>
      </c>
      <c r="J118" s="4"/>
      <c r="K118" s="4" t="s">
        <v>375</v>
      </c>
      <c r="L118" s="4" t="s">
        <v>376</v>
      </c>
      <c r="M118" s="4" t="s">
        <v>62</v>
      </c>
      <c r="N118" s="13" t="s">
        <v>368</v>
      </c>
      <c r="O118" s="4" t="s">
        <v>54</v>
      </c>
      <c r="P118" s="4" t="s">
        <v>55</v>
      </c>
      <c r="Q118" s="4" t="s">
        <v>17</v>
      </c>
      <c r="R118" s="4" t="s">
        <v>56</v>
      </c>
      <c r="S118" s="4"/>
      <c r="T118" s="11"/>
      <c r="U118" s="14"/>
    </row>
    <row r="119" spans="1:21" ht="45" hidden="1" customHeight="1">
      <c r="A119" s="9">
        <v>118</v>
      </c>
      <c r="B119" s="4" t="s">
        <v>47</v>
      </c>
      <c r="C119" s="4" t="s">
        <v>10</v>
      </c>
      <c r="D119" s="4" t="s">
        <v>377</v>
      </c>
      <c r="E119" s="10" t="s">
        <v>57</v>
      </c>
      <c r="F119" s="4">
        <v>60861184</v>
      </c>
      <c r="G119" s="4" t="s">
        <v>59</v>
      </c>
      <c r="H119" s="11">
        <v>46193</v>
      </c>
      <c r="I119" s="12">
        <v>60500</v>
      </c>
      <c r="J119" s="4"/>
      <c r="K119" s="4" t="s">
        <v>60</v>
      </c>
      <c r="L119" s="4" t="s">
        <v>378</v>
      </c>
      <c r="M119" s="4" t="s">
        <v>62</v>
      </c>
      <c r="N119" s="13" t="s">
        <v>379</v>
      </c>
      <c r="O119" s="4" t="s">
        <v>54</v>
      </c>
      <c r="P119" s="4" t="s">
        <v>55</v>
      </c>
      <c r="Q119" s="4" t="s">
        <v>17</v>
      </c>
      <c r="R119" s="4" t="s">
        <v>56</v>
      </c>
      <c r="S119" s="4"/>
      <c r="T119" s="11"/>
      <c r="U119" s="14"/>
    </row>
    <row r="120" spans="1:21" ht="45" hidden="1" customHeight="1">
      <c r="A120" s="9">
        <v>119</v>
      </c>
      <c r="B120" s="4" t="s">
        <v>47</v>
      </c>
      <c r="C120" s="4" t="s">
        <v>10</v>
      </c>
      <c r="D120" s="4" t="s">
        <v>380</v>
      </c>
      <c r="E120" s="10" t="s">
        <v>57</v>
      </c>
      <c r="F120" s="4">
        <v>60861185</v>
      </c>
      <c r="G120" s="4" t="s">
        <v>134</v>
      </c>
      <c r="H120" s="11">
        <v>46193</v>
      </c>
      <c r="I120" s="12">
        <v>12100</v>
      </c>
      <c r="J120" s="4"/>
      <c r="K120" s="4" t="s">
        <v>135</v>
      </c>
      <c r="L120" s="4" t="s">
        <v>381</v>
      </c>
      <c r="M120" s="4" t="s">
        <v>62</v>
      </c>
      <c r="N120" s="13" t="s">
        <v>382</v>
      </c>
      <c r="O120" s="4" t="s">
        <v>54</v>
      </c>
      <c r="P120" s="4" t="s">
        <v>55</v>
      </c>
      <c r="Q120" s="4" t="s">
        <v>17</v>
      </c>
      <c r="R120" s="4" t="s">
        <v>56</v>
      </c>
      <c r="S120" s="4"/>
      <c r="T120" s="11"/>
      <c r="U120" s="14"/>
    </row>
    <row r="121" spans="1:21" ht="45" hidden="1" customHeight="1">
      <c r="A121" s="9">
        <v>120</v>
      </c>
      <c r="B121" s="4" t="s">
        <v>47</v>
      </c>
      <c r="C121" s="4" t="s">
        <v>11</v>
      </c>
      <c r="D121" s="4" t="s">
        <v>383</v>
      </c>
      <c r="E121" s="10" t="s">
        <v>57</v>
      </c>
      <c r="F121" s="4">
        <v>60861186</v>
      </c>
      <c r="G121" s="4" t="s">
        <v>384</v>
      </c>
      <c r="H121" s="11">
        <v>46193</v>
      </c>
      <c r="I121" s="12">
        <v>12100</v>
      </c>
      <c r="J121" s="4"/>
      <c r="K121" s="4" t="s">
        <v>385</v>
      </c>
      <c r="L121" s="4" t="s">
        <v>386</v>
      </c>
      <c r="M121" s="4" t="s">
        <v>52</v>
      </c>
      <c r="N121" s="13" t="s">
        <v>387</v>
      </c>
      <c r="O121" s="4" t="s">
        <v>54</v>
      </c>
      <c r="P121" s="4" t="s">
        <v>55</v>
      </c>
      <c r="Q121" s="4" t="s">
        <v>17</v>
      </c>
      <c r="R121" s="4" t="s">
        <v>56</v>
      </c>
      <c r="S121" s="4"/>
      <c r="T121" s="11"/>
      <c r="U121" s="14"/>
    </row>
    <row r="122" spans="1:21" ht="45" hidden="1" customHeight="1">
      <c r="A122" s="9">
        <v>121</v>
      </c>
      <c r="B122" s="4" t="s">
        <v>47</v>
      </c>
      <c r="C122" s="4" t="s">
        <v>11</v>
      </c>
      <c r="D122" s="4" t="s">
        <v>388</v>
      </c>
      <c r="E122" s="10" t="s">
        <v>57</v>
      </c>
      <c r="F122" s="4">
        <v>60861187</v>
      </c>
      <c r="G122" s="4" t="s">
        <v>389</v>
      </c>
      <c r="H122" s="11">
        <v>46193</v>
      </c>
      <c r="I122" s="12">
        <v>12100</v>
      </c>
      <c r="J122" s="4"/>
      <c r="K122" s="4" t="s">
        <v>390</v>
      </c>
      <c r="L122" s="4" t="s">
        <v>391</v>
      </c>
      <c r="M122" s="4" t="s">
        <v>52</v>
      </c>
      <c r="N122" s="13" t="s">
        <v>392</v>
      </c>
      <c r="O122" s="4" t="s">
        <v>54</v>
      </c>
      <c r="P122" s="4" t="s">
        <v>55</v>
      </c>
      <c r="Q122" s="4" t="s">
        <v>17</v>
      </c>
      <c r="R122" s="4" t="s">
        <v>56</v>
      </c>
      <c r="S122" s="4"/>
      <c r="T122" s="11"/>
      <c r="U122" s="14"/>
    </row>
    <row r="123" spans="1:21" ht="45" hidden="1" customHeight="1">
      <c r="A123" s="9">
        <v>122</v>
      </c>
      <c r="B123" s="4" t="s">
        <v>64</v>
      </c>
      <c r="C123" s="4" t="s">
        <v>7</v>
      </c>
      <c r="D123" s="4" t="s">
        <v>393</v>
      </c>
      <c r="E123" s="10" t="s">
        <v>57</v>
      </c>
      <c r="F123" s="4">
        <v>60861188</v>
      </c>
      <c r="G123" s="4" t="s">
        <v>138</v>
      </c>
      <c r="H123" s="11">
        <v>46193</v>
      </c>
      <c r="I123" s="12">
        <v>8800</v>
      </c>
      <c r="J123" s="4"/>
      <c r="K123" s="4"/>
      <c r="L123" s="4"/>
      <c r="M123" s="4" t="s">
        <v>67</v>
      </c>
      <c r="N123" s="13" t="s">
        <v>394</v>
      </c>
      <c r="O123" s="4" t="s">
        <v>69</v>
      </c>
      <c r="P123" s="4" t="s">
        <v>55</v>
      </c>
      <c r="Q123" s="4" t="s">
        <v>17</v>
      </c>
      <c r="R123" s="4" t="s">
        <v>56</v>
      </c>
      <c r="S123" s="4"/>
      <c r="T123" s="11"/>
      <c r="U123" s="14"/>
    </row>
    <row r="124" spans="1:21" ht="45" hidden="1" customHeight="1">
      <c r="A124" s="9">
        <v>123</v>
      </c>
      <c r="B124" s="4" t="s">
        <v>64</v>
      </c>
      <c r="C124" s="4" t="s">
        <v>7</v>
      </c>
      <c r="D124" s="4" t="s">
        <v>395</v>
      </c>
      <c r="E124" s="10" t="s">
        <v>57</v>
      </c>
      <c r="F124" s="4">
        <v>60861191</v>
      </c>
      <c r="G124" s="4" t="s">
        <v>141</v>
      </c>
      <c r="H124" s="11">
        <v>46193</v>
      </c>
      <c r="I124" s="12">
        <v>8800</v>
      </c>
      <c r="J124" s="4"/>
      <c r="K124" s="4"/>
      <c r="L124" s="4"/>
      <c r="M124" s="4" t="s">
        <v>67</v>
      </c>
      <c r="N124" s="13" t="s">
        <v>396</v>
      </c>
      <c r="O124" s="4" t="s">
        <v>69</v>
      </c>
      <c r="P124" s="4" t="s">
        <v>55</v>
      </c>
      <c r="Q124" s="4" t="s">
        <v>17</v>
      </c>
      <c r="R124" s="4" t="s">
        <v>56</v>
      </c>
      <c r="S124" s="4"/>
      <c r="T124" s="11"/>
      <c r="U124" s="14"/>
    </row>
    <row r="125" spans="1:21" ht="45" hidden="1" customHeight="1">
      <c r="A125" s="9">
        <v>124</v>
      </c>
      <c r="B125" s="4" t="s">
        <v>47</v>
      </c>
      <c r="C125" s="4" t="s">
        <v>10</v>
      </c>
      <c r="D125" s="4" t="s">
        <v>397</v>
      </c>
      <c r="E125" s="10" t="s">
        <v>57</v>
      </c>
      <c r="F125" s="4">
        <v>60900081</v>
      </c>
      <c r="G125" s="4" t="s">
        <v>398</v>
      </c>
      <c r="H125" s="11">
        <v>46193</v>
      </c>
      <c r="I125" s="12">
        <v>605000</v>
      </c>
      <c r="J125" s="4"/>
      <c r="K125" s="4" t="s">
        <v>399</v>
      </c>
      <c r="L125" s="4" t="s">
        <v>400</v>
      </c>
      <c r="M125" s="4" t="s">
        <v>62</v>
      </c>
      <c r="N125" s="13" t="s">
        <v>401</v>
      </c>
      <c r="O125" s="4" t="s">
        <v>54</v>
      </c>
      <c r="P125" s="4" t="s">
        <v>55</v>
      </c>
      <c r="Q125" s="4" t="s">
        <v>17</v>
      </c>
      <c r="R125" s="4" t="s">
        <v>56</v>
      </c>
      <c r="S125" s="4"/>
      <c r="T125" s="11"/>
      <c r="U125" s="14"/>
    </row>
    <row r="126" spans="1:21" ht="45" hidden="1" customHeight="1">
      <c r="A126" s="9">
        <v>125</v>
      </c>
      <c r="B126" s="4" t="s">
        <v>47</v>
      </c>
      <c r="C126" s="4" t="s">
        <v>10</v>
      </c>
      <c r="D126" s="4" t="s">
        <v>402</v>
      </c>
      <c r="E126" s="10" t="s">
        <v>57</v>
      </c>
      <c r="F126" s="4">
        <v>60901483</v>
      </c>
      <c r="G126" s="4" t="s">
        <v>194</v>
      </c>
      <c r="H126" s="11">
        <v>46193</v>
      </c>
      <c r="I126" s="12">
        <v>14080</v>
      </c>
      <c r="J126" s="4"/>
      <c r="K126" s="4" t="s">
        <v>195</v>
      </c>
      <c r="L126" s="4" t="s">
        <v>403</v>
      </c>
      <c r="M126" s="4" t="s">
        <v>62</v>
      </c>
      <c r="N126" s="13" t="s">
        <v>404</v>
      </c>
      <c r="O126" s="4" t="s">
        <v>54</v>
      </c>
      <c r="P126" s="4" t="s">
        <v>55</v>
      </c>
      <c r="Q126" s="4" t="s">
        <v>17</v>
      </c>
      <c r="R126" s="4" t="s">
        <v>56</v>
      </c>
      <c r="S126" s="4"/>
      <c r="T126" s="11"/>
      <c r="U126" s="14"/>
    </row>
    <row r="127" spans="1:21" ht="45" hidden="1" customHeight="1">
      <c r="A127" s="9">
        <v>126</v>
      </c>
      <c r="B127" s="4" t="s">
        <v>64</v>
      </c>
      <c r="C127" s="4" t="s">
        <v>7</v>
      </c>
      <c r="D127" s="4" t="s">
        <v>405</v>
      </c>
      <c r="E127" s="10" t="s">
        <v>57</v>
      </c>
      <c r="F127" s="4">
        <v>60904124</v>
      </c>
      <c r="G127" s="4" t="s">
        <v>150</v>
      </c>
      <c r="H127" s="11">
        <v>46193</v>
      </c>
      <c r="I127" s="12">
        <v>17600</v>
      </c>
      <c r="J127" s="4"/>
      <c r="K127" s="4"/>
      <c r="L127" s="4"/>
      <c r="M127" s="4" t="s">
        <v>67</v>
      </c>
      <c r="N127" s="13" t="s">
        <v>406</v>
      </c>
      <c r="O127" s="4" t="s">
        <v>69</v>
      </c>
      <c r="P127" s="4" t="s">
        <v>55</v>
      </c>
      <c r="Q127" s="4" t="s">
        <v>17</v>
      </c>
      <c r="R127" s="4" t="s">
        <v>56</v>
      </c>
      <c r="S127" s="4"/>
      <c r="T127" s="11"/>
      <c r="U127" s="14"/>
    </row>
    <row r="128" spans="1:21" ht="45" hidden="1" customHeight="1">
      <c r="A128" s="9">
        <v>127</v>
      </c>
      <c r="B128" s="4" t="s">
        <v>64</v>
      </c>
      <c r="C128" s="4" t="s">
        <v>7</v>
      </c>
      <c r="D128" s="4" t="s">
        <v>407</v>
      </c>
      <c r="E128" s="10" t="s">
        <v>57</v>
      </c>
      <c r="F128" s="4">
        <v>60905395</v>
      </c>
      <c r="G128" s="4" t="s">
        <v>208</v>
      </c>
      <c r="H128" s="11">
        <v>46193</v>
      </c>
      <c r="I128" s="12">
        <v>198000</v>
      </c>
      <c r="J128" s="4"/>
      <c r="K128" s="4"/>
      <c r="L128" s="4"/>
      <c r="M128" s="4" t="s">
        <v>67</v>
      </c>
      <c r="N128" s="13" t="s">
        <v>408</v>
      </c>
      <c r="O128" s="4" t="s">
        <v>69</v>
      </c>
      <c r="P128" s="4" t="s">
        <v>55</v>
      </c>
      <c r="Q128" s="4" t="s">
        <v>17</v>
      </c>
      <c r="R128" s="4" t="s">
        <v>56</v>
      </c>
      <c r="S128" s="4"/>
      <c r="T128" s="11"/>
      <c r="U128" s="14"/>
    </row>
    <row r="129" spans="1:21" ht="45" customHeight="1">
      <c r="A129" s="9">
        <v>10</v>
      </c>
      <c r="B129" s="4" t="s">
        <v>64</v>
      </c>
      <c r="C129" s="4" t="s">
        <v>8</v>
      </c>
      <c r="D129" s="4" t="s">
        <v>95</v>
      </c>
      <c r="E129" s="10" t="s">
        <v>57</v>
      </c>
      <c r="F129" s="4">
        <v>54153841</v>
      </c>
      <c r="G129" s="4" t="s">
        <v>96</v>
      </c>
      <c r="H129" s="11">
        <v>46101</v>
      </c>
      <c r="I129" s="12">
        <v>12100</v>
      </c>
      <c r="J129" s="4"/>
      <c r="K129" s="4" t="s">
        <v>97</v>
      </c>
      <c r="L129" s="4"/>
      <c r="M129" s="4" t="s">
        <v>73</v>
      </c>
      <c r="N129" s="13" t="s">
        <v>74</v>
      </c>
      <c r="O129" s="4" t="s">
        <v>75</v>
      </c>
      <c r="P129" s="4" t="s">
        <v>55</v>
      </c>
      <c r="Q129" s="4" t="s">
        <v>17</v>
      </c>
      <c r="R129" s="4" t="s">
        <v>56</v>
      </c>
      <c r="S129" s="4"/>
      <c r="T129" s="11"/>
      <c r="U129" s="14"/>
    </row>
    <row r="130" spans="1:21" ht="45" hidden="1" customHeight="1">
      <c r="A130" s="9">
        <v>129</v>
      </c>
      <c r="B130" s="4" t="s">
        <v>64</v>
      </c>
      <c r="C130" s="4" t="s">
        <v>7</v>
      </c>
      <c r="D130" s="4" t="s">
        <v>412</v>
      </c>
      <c r="E130" s="10" t="s">
        <v>57</v>
      </c>
      <c r="F130" s="4">
        <v>60907136</v>
      </c>
      <c r="G130" s="4" t="s">
        <v>413</v>
      </c>
      <c r="H130" s="11">
        <v>46193</v>
      </c>
      <c r="I130" s="12">
        <v>33000</v>
      </c>
      <c r="J130" s="4"/>
      <c r="K130" s="4"/>
      <c r="L130" s="4"/>
      <c r="M130" s="4" t="s">
        <v>67</v>
      </c>
      <c r="N130" s="13" t="s">
        <v>414</v>
      </c>
      <c r="O130" s="4" t="s">
        <v>69</v>
      </c>
      <c r="P130" s="4" t="s">
        <v>55</v>
      </c>
      <c r="Q130" s="4" t="s">
        <v>17</v>
      </c>
      <c r="R130" s="4" t="s">
        <v>56</v>
      </c>
      <c r="S130" s="4"/>
      <c r="T130" s="11"/>
      <c r="U130" s="14"/>
    </row>
    <row r="131" spans="1:21" ht="45" hidden="1" customHeight="1">
      <c r="A131" s="9">
        <v>130</v>
      </c>
      <c r="B131" s="4" t="s">
        <v>64</v>
      </c>
      <c r="C131" s="4" t="s">
        <v>9</v>
      </c>
      <c r="D131" s="4" t="s">
        <v>415</v>
      </c>
      <c r="E131" s="10" t="s">
        <v>57</v>
      </c>
      <c r="F131" s="4">
        <v>60907570</v>
      </c>
      <c r="G131" s="4" t="s">
        <v>416</v>
      </c>
      <c r="H131" s="11">
        <v>46193</v>
      </c>
      <c r="I131" s="12">
        <v>1650000</v>
      </c>
      <c r="J131" s="4"/>
      <c r="K131" s="4"/>
      <c r="L131" s="4"/>
      <c r="M131" s="4" t="s">
        <v>118</v>
      </c>
      <c r="N131" s="13" t="s">
        <v>417</v>
      </c>
      <c r="O131" s="4" t="s">
        <v>69</v>
      </c>
      <c r="P131" s="4" t="s">
        <v>55</v>
      </c>
      <c r="Q131" s="4" t="s">
        <v>17</v>
      </c>
      <c r="R131" s="4" t="s">
        <v>56</v>
      </c>
      <c r="S131" s="4"/>
      <c r="T131" s="11"/>
      <c r="U131" s="14"/>
    </row>
    <row r="132" spans="1:21" ht="45" hidden="1" customHeight="1">
      <c r="A132" s="9">
        <v>131</v>
      </c>
      <c r="B132" s="4" t="s">
        <v>64</v>
      </c>
      <c r="C132" s="4" t="s">
        <v>7</v>
      </c>
      <c r="D132" s="4" t="s">
        <v>418</v>
      </c>
      <c r="E132" s="10" t="s">
        <v>57</v>
      </c>
      <c r="F132" s="4">
        <v>60946048</v>
      </c>
      <c r="G132" s="4" t="s">
        <v>419</v>
      </c>
      <c r="H132" s="11">
        <v>46193</v>
      </c>
      <c r="I132" s="12">
        <v>8800</v>
      </c>
      <c r="J132" s="4"/>
      <c r="K132" s="4"/>
      <c r="L132" s="4"/>
      <c r="M132" s="4" t="s">
        <v>67</v>
      </c>
      <c r="N132" s="13" t="s">
        <v>420</v>
      </c>
      <c r="O132" s="4" t="s">
        <v>69</v>
      </c>
      <c r="P132" s="4" t="s">
        <v>55</v>
      </c>
      <c r="Q132" s="4" t="s">
        <v>17</v>
      </c>
      <c r="R132" s="4" t="s">
        <v>56</v>
      </c>
      <c r="S132" s="4"/>
      <c r="T132" s="11"/>
      <c r="U132" s="14"/>
    </row>
    <row r="133" spans="1:21" ht="45" customHeight="1">
      <c r="A133" s="9">
        <v>29</v>
      </c>
      <c r="B133" s="4" t="s">
        <v>64</v>
      </c>
      <c r="C133" s="4" t="s">
        <v>8</v>
      </c>
      <c r="D133" s="4" t="s">
        <v>156</v>
      </c>
      <c r="E133" s="10" t="s">
        <v>57</v>
      </c>
      <c r="F133" s="4">
        <v>56527528</v>
      </c>
      <c r="G133" s="4" t="s">
        <v>71</v>
      </c>
      <c r="H133" s="11">
        <v>46132</v>
      </c>
      <c r="I133" s="12">
        <v>12100</v>
      </c>
      <c r="J133" s="4"/>
      <c r="K133" s="4" t="s">
        <v>72</v>
      </c>
      <c r="L133" s="4"/>
      <c r="M133" s="4" t="s">
        <v>73</v>
      </c>
      <c r="N133" s="13" t="s">
        <v>74</v>
      </c>
      <c r="O133" s="4" t="s">
        <v>75</v>
      </c>
      <c r="P133" s="4" t="s">
        <v>55</v>
      </c>
      <c r="Q133" s="4" t="s">
        <v>17</v>
      </c>
      <c r="R133" s="4" t="s">
        <v>56</v>
      </c>
      <c r="S133" s="4"/>
      <c r="T133" s="11"/>
      <c r="U133" s="14"/>
    </row>
    <row r="134" spans="1:21" ht="45" hidden="1" customHeight="1">
      <c r="A134" s="9">
        <v>133</v>
      </c>
      <c r="B134" s="4" t="s">
        <v>64</v>
      </c>
      <c r="C134" s="4" t="s">
        <v>7</v>
      </c>
      <c r="D134" s="4" t="s">
        <v>424</v>
      </c>
      <c r="E134" s="10" t="s">
        <v>57</v>
      </c>
      <c r="F134" s="4">
        <v>60952846</v>
      </c>
      <c r="G134" s="4" t="s">
        <v>425</v>
      </c>
      <c r="H134" s="11">
        <v>46193</v>
      </c>
      <c r="I134" s="12">
        <v>165000</v>
      </c>
      <c r="J134" s="4"/>
      <c r="K134" s="4"/>
      <c r="L134" s="4"/>
      <c r="M134" s="4" t="s">
        <v>67</v>
      </c>
      <c r="N134" s="13" t="s">
        <v>426</v>
      </c>
      <c r="O134" s="4" t="s">
        <v>69</v>
      </c>
      <c r="P134" s="4" t="s">
        <v>55</v>
      </c>
      <c r="Q134" s="4" t="s">
        <v>17</v>
      </c>
      <c r="R134" s="4" t="s">
        <v>56</v>
      </c>
      <c r="S134" s="4"/>
      <c r="T134" s="11"/>
      <c r="U134" s="14"/>
    </row>
    <row r="135" spans="1:21" ht="45" hidden="1" customHeight="1">
      <c r="A135" s="9">
        <v>134</v>
      </c>
      <c r="B135" s="4" t="s">
        <v>47</v>
      </c>
      <c r="C135" s="4" t="s">
        <v>11</v>
      </c>
      <c r="D135" s="4" t="s">
        <v>427</v>
      </c>
      <c r="E135" s="10" t="s">
        <v>57</v>
      </c>
      <c r="F135" s="4">
        <v>60953208</v>
      </c>
      <c r="G135" s="4" t="s">
        <v>194</v>
      </c>
      <c r="H135" s="11">
        <v>46193</v>
      </c>
      <c r="I135" s="12">
        <v>84480</v>
      </c>
      <c r="J135" s="4"/>
      <c r="K135" s="4" t="s">
        <v>195</v>
      </c>
      <c r="L135" s="4" t="s">
        <v>428</v>
      </c>
      <c r="M135" s="4" t="s">
        <v>52</v>
      </c>
      <c r="N135" s="13" t="s">
        <v>429</v>
      </c>
      <c r="O135" s="4" t="s">
        <v>54</v>
      </c>
      <c r="P135" s="4" t="s">
        <v>55</v>
      </c>
      <c r="Q135" s="4" t="s">
        <v>17</v>
      </c>
      <c r="R135" s="4" t="s">
        <v>56</v>
      </c>
      <c r="S135" s="4"/>
      <c r="T135" s="11"/>
      <c r="U135" s="14"/>
    </row>
    <row r="136" spans="1:21" ht="45" customHeight="1">
      <c r="A136" s="9">
        <v>32</v>
      </c>
      <c r="B136" s="4" t="s">
        <v>64</v>
      </c>
      <c r="C136" s="4" t="s">
        <v>8</v>
      </c>
      <c r="D136" s="4" t="s">
        <v>161</v>
      </c>
      <c r="E136" s="10" t="s">
        <v>57</v>
      </c>
      <c r="F136" s="4">
        <v>56527535</v>
      </c>
      <c r="G136" s="4" t="s">
        <v>90</v>
      </c>
      <c r="H136" s="11">
        <v>46132</v>
      </c>
      <c r="I136" s="12">
        <v>12100</v>
      </c>
      <c r="J136" s="4"/>
      <c r="K136" s="4" t="s">
        <v>91</v>
      </c>
      <c r="L136" s="4"/>
      <c r="M136" s="4" t="s">
        <v>73</v>
      </c>
      <c r="N136" s="13" t="s">
        <v>74</v>
      </c>
      <c r="O136" s="4" t="s">
        <v>75</v>
      </c>
      <c r="P136" s="4" t="s">
        <v>55</v>
      </c>
      <c r="Q136" s="4" t="s">
        <v>17</v>
      </c>
      <c r="R136" s="4" t="s">
        <v>56</v>
      </c>
      <c r="S136" s="4"/>
      <c r="T136" s="11"/>
      <c r="U136" s="14"/>
    </row>
    <row r="137" spans="1:21" ht="45" hidden="1" customHeight="1">
      <c r="A137" s="9">
        <v>136</v>
      </c>
      <c r="B137" s="4" t="s">
        <v>64</v>
      </c>
      <c r="C137" s="4" t="s">
        <v>9</v>
      </c>
      <c r="D137" s="4" t="s">
        <v>434</v>
      </c>
      <c r="E137" s="10" t="s">
        <v>57</v>
      </c>
      <c r="F137" s="4">
        <v>61438597</v>
      </c>
      <c r="G137" s="4" t="s">
        <v>435</v>
      </c>
      <c r="H137" s="11">
        <v>46198</v>
      </c>
      <c r="I137" s="12">
        <v>544500</v>
      </c>
      <c r="J137" s="4"/>
      <c r="K137" s="4"/>
      <c r="L137" s="4"/>
      <c r="M137" s="4" t="s">
        <v>118</v>
      </c>
      <c r="N137" s="13" t="s">
        <v>436</v>
      </c>
      <c r="O137" s="4" t="s">
        <v>69</v>
      </c>
      <c r="P137" s="4" t="s">
        <v>55</v>
      </c>
      <c r="Q137" s="4" t="s">
        <v>17</v>
      </c>
      <c r="R137" s="4" t="s">
        <v>56</v>
      </c>
      <c r="S137" s="4"/>
      <c r="T137" s="11"/>
      <c r="U137" s="14"/>
    </row>
    <row r="138" spans="1:21" ht="45" hidden="1" customHeight="1">
      <c r="A138" s="9">
        <v>137</v>
      </c>
      <c r="B138" s="4" t="s">
        <v>64</v>
      </c>
      <c r="C138" s="4" t="s">
        <v>9</v>
      </c>
      <c r="D138" s="4" t="s">
        <v>437</v>
      </c>
      <c r="E138" s="10" t="s">
        <v>57</v>
      </c>
      <c r="F138" s="4">
        <v>61466312</v>
      </c>
      <c r="G138" s="4" t="s">
        <v>438</v>
      </c>
      <c r="H138" s="11">
        <v>46199</v>
      </c>
      <c r="I138" s="12">
        <v>440000</v>
      </c>
      <c r="J138" s="4"/>
      <c r="K138" s="4"/>
      <c r="L138" s="4"/>
      <c r="M138" s="4" t="s">
        <v>118</v>
      </c>
      <c r="N138" s="13" t="s">
        <v>439</v>
      </c>
      <c r="O138" s="4" t="s">
        <v>69</v>
      </c>
      <c r="P138" s="4" t="s">
        <v>55</v>
      </c>
      <c r="Q138" s="4" t="s">
        <v>17</v>
      </c>
      <c r="R138" s="4" t="s">
        <v>56</v>
      </c>
      <c r="S138" s="4"/>
      <c r="T138" s="11"/>
      <c r="U138" s="14"/>
    </row>
    <row r="139" spans="1:21" ht="45" hidden="1" customHeight="1">
      <c r="A139" s="9">
        <v>138</v>
      </c>
      <c r="B139" s="4" t="s">
        <v>64</v>
      </c>
      <c r="C139" s="4" t="s">
        <v>9</v>
      </c>
      <c r="D139" s="4" t="s">
        <v>440</v>
      </c>
      <c r="E139" s="10" t="s">
        <v>57</v>
      </c>
      <c r="F139" s="4">
        <v>61624916</v>
      </c>
      <c r="G139" s="4" t="s">
        <v>441</v>
      </c>
      <c r="H139" s="11">
        <v>46202</v>
      </c>
      <c r="I139" s="12">
        <v>3300000</v>
      </c>
      <c r="J139" s="4"/>
      <c r="K139" s="4"/>
      <c r="L139" s="4"/>
      <c r="M139" s="4" t="s">
        <v>118</v>
      </c>
      <c r="N139" s="13" t="s">
        <v>442</v>
      </c>
      <c r="O139" s="4" t="s">
        <v>69</v>
      </c>
      <c r="P139" s="4" t="s">
        <v>55</v>
      </c>
      <c r="Q139" s="4" t="s">
        <v>17</v>
      </c>
      <c r="R139" s="4" t="s">
        <v>56</v>
      </c>
      <c r="S139" s="4"/>
      <c r="T139" s="11"/>
      <c r="U139" s="14"/>
    </row>
    <row r="140" spans="1:21" ht="45" hidden="1" customHeight="1">
      <c r="A140" s="9">
        <v>139</v>
      </c>
      <c r="B140" s="4" t="s">
        <v>64</v>
      </c>
      <c r="C140" s="4" t="s">
        <v>9</v>
      </c>
      <c r="D140" s="4" t="s">
        <v>443</v>
      </c>
      <c r="E140" s="10" t="s">
        <v>57</v>
      </c>
      <c r="F140" s="4">
        <v>61633340</v>
      </c>
      <c r="G140" s="4" t="s">
        <v>444</v>
      </c>
      <c r="H140" s="11">
        <v>46202</v>
      </c>
      <c r="I140" s="12">
        <v>13624600</v>
      </c>
      <c r="J140" s="4"/>
      <c r="K140" s="4"/>
      <c r="L140" s="4"/>
      <c r="M140" s="4" t="s">
        <v>118</v>
      </c>
      <c r="N140" s="13" t="s">
        <v>445</v>
      </c>
      <c r="O140" s="4" t="s">
        <v>69</v>
      </c>
      <c r="P140" s="4" t="s">
        <v>55</v>
      </c>
      <c r="Q140" s="4" t="s">
        <v>17</v>
      </c>
      <c r="R140" s="4" t="s">
        <v>56</v>
      </c>
      <c r="S140" s="4"/>
      <c r="T140" s="11"/>
      <c r="U140" s="14"/>
    </row>
    <row r="141" spans="1:21" ht="45" hidden="1" customHeight="1">
      <c r="A141" s="9">
        <v>140</v>
      </c>
      <c r="B141" s="4" t="s">
        <v>64</v>
      </c>
      <c r="C141" s="4" t="s">
        <v>9</v>
      </c>
      <c r="D141" s="4" t="s">
        <v>446</v>
      </c>
      <c r="E141" s="10" t="s">
        <v>57</v>
      </c>
      <c r="F141" s="4">
        <v>61633945</v>
      </c>
      <c r="G141" s="4" t="s">
        <v>444</v>
      </c>
      <c r="H141" s="11">
        <v>46202</v>
      </c>
      <c r="I141" s="12">
        <v>3861000</v>
      </c>
      <c r="J141" s="4"/>
      <c r="K141" s="4"/>
      <c r="L141" s="4"/>
      <c r="M141" s="4" t="s">
        <v>118</v>
      </c>
      <c r="N141" s="13" t="s">
        <v>447</v>
      </c>
      <c r="O141" s="4" t="s">
        <v>69</v>
      </c>
      <c r="P141" s="4" t="s">
        <v>55</v>
      </c>
      <c r="Q141" s="4" t="s">
        <v>17</v>
      </c>
      <c r="R141" s="4" t="s">
        <v>56</v>
      </c>
      <c r="S141" s="4"/>
      <c r="T141" s="11"/>
      <c r="U141" s="14"/>
    </row>
    <row r="142" spans="1:21" ht="45" hidden="1" customHeight="1">
      <c r="A142" s="9">
        <v>141</v>
      </c>
      <c r="B142" s="4" t="s">
        <v>64</v>
      </c>
      <c r="C142" s="4" t="s">
        <v>9</v>
      </c>
      <c r="D142" s="4" t="s">
        <v>448</v>
      </c>
      <c r="E142" s="10" t="s">
        <v>57</v>
      </c>
      <c r="F142" s="4">
        <v>62159546</v>
      </c>
      <c r="G142" s="4" t="s">
        <v>297</v>
      </c>
      <c r="H142" s="11">
        <v>46205</v>
      </c>
      <c r="I142" s="12">
        <v>247500</v>
      </c>
      <c r="J142" s="4"/>
      <c r="K142" s="4"/>
      <c r="L142" s="4"/>
      <c r="M142" s="4" t="s">
        <v>118</v>
      </c>
      <c r="N142" s="13" t="s">
        <v>449</v>
      </c>
      <c r="O142" s="4" t="s">
        <v>69</v>
      </c>
      <c r="P142" s="4" t="s">
        <v>55</v>
      </c>
      <c r="Q142" s="4" t="s">
        <v>17</v>
      </c>
      <c r="R142" s="4" t="s">
        <v>56</v>
      </c>
      <c r="S142" s="4"/>
      <c r="T142" s="11"/>
      <c r="U142" s="14"/>
    </row>
    <row r="143" spans="1:21" ht="45" customHeight="1">
      <c r="A143" s="9">
        <v>34</v>
      </c>
      <c r="B143" s="4" t="s">
        <v>64</v>
      </c>
      <c r="C143" s="4" t="s">
        <v>8</v>
      </c>
      <c r="D143" s="4" t="s">
        <v>164</v>
      </c>
      <c r="E143" s="10" t="s">
        <v>57</v>
      </c>
      <c r="F143" s="4">
        <v>56527537</v>
      </c>
      <c r="G143" s="4" t="s">
        <v>96</v>
      </c>
      <c r="H143" s="11">
        <v>46132</v>
      </c>
      <c r="I143" s="12">
        <v>12100</v>
      </c>
      <c r="J143" s="4"/>
      <c r="K143" s="4" t="s">
        <v>97</v>
      </c>
      <c r="L143" s="4"/>
      <c r="M143" s="4" t="s">
        <v>73</v>
      </c>
      <c r="N143" s="13" t="s">
        <v>74</v>
      </c>
      <c r="O143" s="4" t="s">
        <v>75</v>
      </c>
      <c r="P143" s="4" t="s">
        <v>55</v>
      </c>
      <c r="Q143" s="4" t="s">
        <v>17</v>
      </c>
      <c r="R143" s="4" t="s">
        <v>56</v>
      </c>
      <c r="S143" s="4"/>
      <c r="T143" s="11"/>
      <c r="U143" s="14"/>
    </row>
    <row r="144" spans="1:21" ht="45" hidden="1" customHeight="1">
      <c r="A144" s="9">
        <v>143</v>
      </c>
      <c r="B144" s="4" t="s">
        <v>64</v>
      </c>
      <c r="C144" s="4" t="s">
        <v>9</v>
      </c>
      <c r="D144" s="4" t="s">
        <v>452</v>
      </c>
      <c r="E144" s="10" t="s">
        <v>57</v>
      </c>
      <c r="F144" s="4">
        <v>62557474</v>
      </c>
      <c r="G144" s="4" t="s">
        <v>453</v>
      </c>
      <c r="H144" s="11">
        <v>46210</v>
      </c>
      <c r="I144" s="12">
        <v>127800</v>
      </c>
      <c r="J144" s="4"/>
      <c r="K144" s="4"/>
      <c r="L144" s="4"/>
      <c r="M144" s="4" t="s">
        <v>118</v>
      </c>
      <c r="N144" s="13" t="s">
        <v>454</v>
      </c>
      <c r="O144" s="4" t="s">
        <v>69</v>
      </c>
      <c r="P144" s="4" t="s">
        <v>55</v>
      </c>
      <c r="Q144" s="4" t="s">
        <v>17</v>
      </c>
      <c r="R144" s="4" t="s">
        <v>56</v>
      </c>
      <c r="S144" s="4"/>
      <c r="T144" s="11"/>
      <c r="U144" s="14"/>
    </row>
    <row r="145" spans="1:21" ht="45" hidden="1" customHeight="1">
      <c r="A145" s="9">
        <v>144</v>
      </c>
      <c r="B145" s="4" t="s">
        <v>64</v>
      </c>
      <c r="C145" s="4" t="s">
        <v>9</v>
      </c>
      <c r="D145" s="4" t="s">
        <v>455</v>
      </c>
      <c r="E145" s="10" t="s">
        <v>57</v>
      </c>
      <c r="F145" s="4">
        <v>62989809</v>
      </c>
      <c r="G145" s="4" t="s">
        <v>208</v>
      </c>
      <c r="H145" s="11">
        <v>46217</v>
      </c>
      <c r="I145" s="12">
        <v>495000</v>
      </c>
      <c r="J145" s="4"/>
      <c r="K145" s="4"/>
      <c r="L145" s="4"/>
      <c r="M145" s="4" t="s">
        <v>118</v>
      </c>
      <c r="N145" s="13" t="s">
        <v>456</v>
      </c>
      <c r="O145" s="4" t="s">
        <v>69</v>
      </c>
      <c r="P145" s="4" t="s">
        <v>55</v>
      </c>
      <c r="Q145" s="4" t="s">
        <v>17</v>
      </c>
      <c r="R145" s="4" t="s">
        <v>56</v>
      </c>
      <c r="S145" s="4"/>
      <c r="T145" s="11"/>
      <c r="U145" s="14"/>
    </row>
    <row r="146" spans="1:21" ht="45" hidden="1" customHeight="1">
      <c r="A146" s="9">
        <v>145</v>
      </c>
      <c r="B146" s="4" t="s">
        <v>64</v>
      </c>
      <c r="C146" s="4" t="s">
        <v>7</v>
      </c>
      <c r="D146" s="4" t="s">
        <v>457</v>
      </c>
      <c r="E146" s="10" t="s">
        <v>57</v>
      </c>
      <c r="F146" s="4">
        <v>63077917</v>
      </c>
      <c r="G146" s="4" t="s">
        <v>458</v>
      </c>
      <c r="H146" s="11">
        <v>46223</v>
      </c>
      <c r="I146" s="12">
        <v>145200</v>
      </c>
      <c r="J146" s="4"/>
      <c r="K146" s="4"/>
      <c r="L146" s="4"/>
      <c r="M146" s="4" t="s">
        <v>67</v>
      </c>
      <c r="N146" s="13" t="s">
        <v>459</v>
      </c>
      <c r="O146" s="4" t="s">
        <v>69</v>
      </c>
      <c r="P146" s="4" t="s">
        <v>55</v>
      </c>
      <c r="Q146" s="4" t="s">
        <v>17</v>
      </c>
      <c r="R146" s="4" t="s">
        <v>56</v>
      </c>
      <c r="S146" s="4"/>
      <c r="T146" s="11"/>
      <c r="U146" s="14"/>
    </row>
    <row r="147" spans="1:21" ht="45" hidden="1" customHeight="1">
      <c r="A147" s="9">
        <v>146</v>
      </c>
      <c r="B147" s="4" t="s">
        <v>64</v>
      </c>
      <c r="C147" s="4" t="s">
        <v>7</v>
      </c>
      <c r="D147" s="4" t="s">
        <v>460</v>
      </c>
      <c r="E147" s="10" t="s">
        <v>57</v>
      </c>
      <c r="F147" s="4">
        <v>63077927</v>
      </c>
      <c r="G147" s="4" t="s">
        <v>461</v>
      </c>
      <c r="H147" s="11">
        <v>46223</v>
      </c>
      <c r="I147" s="12">
        <v>52800</v>
      </c>
      <c r="J147" s="4"/>
      <c r="K147" s="4"/>
      <c r="L147" s="4"/>
      <c r="M147" s="4" t="s">
        <v>67</v>
      </c>
      <c r="N147" s="13" t="s">
        <v>462</v>
      </c>
      <c r="O147" s="4" t="s">
        <v>69</v>
      </c>
      <c r="P147" s="4" t="s">
        <v>55</v>
      </c>
      <c r="Q147" s="4" t="s">
        <v>17</v>
      </c>
      <c r="R147" s="4" t="s">
        <v>56</v>
      </c>
      <c r="S147" s="4"/>
      <c r="T147" s="11"/>
      <c r="U147" s="14"/>
    </row>
    <row r="148" spans="1:21" ht="45" hidden="1" customHeight="1">
      <c r="A148" s="9">
        <v>147</v>
      </c>
      <c r="B148" s="4" t="s">
        <v>64</v>
      </c>
      <c r="C148" s="4" t="s">
        <v>9</v>
      </c>
      <c r="D148" s="4" t="s">
        <v>463</v>
      </c>
      <c r="E148" s="10" t="s">
        <v>57</v>
      </c>
      <c r="F148" s="4">
        <v>63077930</v>
      </c>
      <c r="G148" s="4" t="s">
        <v>464</v>
      </c>
      <c r="H148" s="11">
        <v>46223</v>
      </c>
      <c r="I148" s="12">
        <v>275000</v>
      </c>
      <c r="J148" s="4"/>
      <c r="K148" s="4"/>
      <c r="L148" s="4"/>
      <c r="M148" s="4" t="s">
        <v>118</v>
      </c>
      <c r="N148" s="13" t="s">
        <v>465</v>
      </c>
      <c r="O148" s="4" t="s">
        <v>69</v>
      </c>
      <c r="P148" s="4" t="s">
        <v>55</v>
      </c>
      <c r="Q148" s="4" t="s">
        <v>17</v>
      </c>
      <c r="R148" s="4" t="s">
        <v>56</v>
      </c>
      <c r="S148" s="4"/>
      <c r="T148" s="11"/>
      <c r="U148" s="14"/>
    </row>
    <row r="149" spans="1:21" ht="45" hidden="1" customHeight="1">
      <c r="A149" s="9">
        <v>148</v>
      </c>
      <c r="B149" s="4" t="s">
        <v>64</v>
      </c>
      <c r="C149" s="4" t="s">
        <v>7</v>
      </c>
      <c r="D149" s="4" t="s">
        <v>466</v>
      </c>
      <c r="E149" s="10" t="s">
        <v>57</v>
      </c>
      <c r="F149" s="4">
        <v>63077938</v>
      </c>
      <c r="G149" s="4" t="s">
        <v>467</v>
      </c>
      <c r="H149" s="11">
        <v>46223</v>
      </c>
      <c r="I149" s="12">
        <v>26400</v>
      </c>
      <c r="J149" s="4"/>
      <c r="K149" s="4"/>
      <c r="L149" s="4"/>
      <c r="M149" s="4" t="s">
        <v>67</v>
      </c>
      <c r="N149" s="13" t="s">
        <v>468</v>
      </c>
      <c r="O149" s="4" t="s">
        <v>69</v>
      </c>
      <c r="P149" s="4" t="s">
        <v>55</v>
      </c>
      <c r="Q149" s="4" t="s">
        <v>17</v>
      </c>
      <c r="R149" s="4" t="s">
        <v>56</v>
      </c>
      <c r="S149" s="4"/>
      <c r="T149" s="11"/>
      <c r="U149" s="14"/>
    </row>
    <row r="150" spans="1:21" ht="45" hidden="1" customHeight="1">
      <c r="A150" s="9">
        <v>149</v>
      </c>
      <c r="B150" s="4" t="s">
        <v>64</v>
      </c>
      <c r="C150" s="4" t="s">
        <v>7</v>
      </c>
      <c r="D150" s="4" t="s">
        <v>469</v>
      </c>
      <c r="E150" s="10" t="s">
        <v>57</v>
      </c>
      <c r="F150" s="4">
        <v>63077950</v>
      </c>
      <c r="G150" s="4" t="s">
        <v>114</v>
      </c>
      <c r="H150" s="11">
        <v>46223</v>
      </c>
      <c r="I150" s="12">
        <v>82500</v>
      </c>
      <c r="J150" s="4"/>
      <c r="K150" s="4"/>
      <c r="L150" s="4"/>
      <c r="M150" s="4" t="s">
        <v>67</v>
      </c>
      <c r="N150" s="13" t="s">
        <v>470</v>
      </c>
      <c r="O150" s="4" t="s">
        <v>69</v>
      </c>
      <c r="P150" s="4" t="s">
        <v>55</v>
      </c>
      <c r="Q150" s="4" t="s">
        <v>17</v>
      </c>
      <c r="R150" s="4" t="s">
        <v>56</v>
      </c>
      <c r="S150" s="4"/>
      <c r="T150" s="11"/>
      <c r="U150" s="14"/>
    </row>
    <row r="151" spans="1:21" ht="45" customHeight="1">
      <c r="A151" s="9">
        <v>66</v>
      </c>
      <c r="B151" s="4" t="s">
        <v>64</v>
      </c>
      <c r="C151" s="4" t="s">
        <v>8</v>
      </c>
      <c r="D151" s="4" t="s">
        <v>244</v>
      </c>
      <c r="E151" s="10" t="s">
        <v>57</v>
      </c>
      <c r="F151" s="4">
        <v>58573611</v>
      </c>
      <c r="G151" s="4" t="s">
        <v>71</v>
      </c>
      <c r="H151" s="11">
        <v>46162</v>
      </c>
      <c r="I151" s="12">
        <v>12100</v>
      </c>
      <c r="J151" s="4"/>
      <c r="K151" s="4" t="s">
        <v>72</v>
      </c>
      <c r="L151" s="4"/>
      <c r="M151" s="4" t="s">
        <v>73</v>
      </c>
      <c r="N151" s="13" t="s">
        <v>74</v>
      </c>
      <c r="O151" s="4" t="s">
        <v>75</v>
      </c>
      <c r="P151" s="4" t="s">
        <v>55</v>
      </c>
      <c r="Q151" s="4" t="s">
        <v>17</v>
      </c>
      <c r="R151" s="4" t="s">
        <v>56</v>
      </c>
      <c r="S151" s="4"/>
      <c r="T151" s="11"/>
      <c r="U151" s="14"/>
    </row>
    <row r="152" spans="1:21" ht="45" hidden="1" customHeight="1">
      <c r="A152" s="9">
        <v>151</v>
      </c>
      <c r="B152" s="4" t="s">
        <v>64</v>
      </c>
      <c r="C152" s="4" t="s">
        <v>9</v>
      </c>
      <c r="D152" s="4" t="s">
        <v>475</v>
      </c>
      <c r="E152" s="10" t="s">
        <v>57</v>
      </c>
      <c r="F152" s="4">
        <v>63077980</v>
      </c>
      <c r="G152" s="4" t="s">
        <v>211</v>
      </c>
      <c r="H152" s="11">
        <v>46223</v>
      </c>
      <c r="I152" s="12">
        <v>308000</v>
      </c>
      <c r="J152" s="4"/>
      <c r="K152" s="4"/>
      <c r="L152" s="4"/>
      <c r="M152" s="4" t="s">
        <v>212</v>
      </c>
      <c r="N152" s="13" t="s">
        <v>476</v>
      </c>
      <c r="O152" s="4" t="s">
        <v>69</v>
      </c>
      <c r="P152" s="4" t="s">
        <v>55</v>
      </c>
      <c r="Q152" s="4" t="s">
        <v>17</v>
      </c>
      <c r="R152" s="4" t="s">
        <v>56</v>
      </c>
      <c r="S152" s="4"/>
      <c r="T152" s="11"/>
      <c r="U152" s="14"/>
    </row>
    <row r="153" spans="1:21" ht="45" hidden="1" customHeight="1">
      <c r="A153" s="9">
        <v>152</v>
      </c>
      <c r="B153" s="4" t="s">
        <v>64</v>
      </c>
      <c r="C153" s="4" t="s">
        <v>7</v>
      </c>
      <c r="D153" s="4" t="s">
        <v>477</v>
      </c>
      <c r="E153" s="10" t="s">
        <v>57</v>
      </c>
      <c r="F153" s="4">
        <v>63077988</v>
      </c>
      <c r="G153" s="4" t="s">
        <v>413</v>
      </c>
      <c r="H153" s="11">
        <v>46223</v>
      </c>
      <c r="I153" s="12">
        <v>33000</v>
      </c>
      <c r="J153" s="4"/>
      <c r="K153" s="4"/>
      <c r="L153" s="4"/>
      <c r="M153" s="4" t="s">
        <v>67</v>
      </c>
      <c r="N153" s="13" t="s">
        <v>478</v>
      </c>
      <c r="O153" s="4" t="s">
        <v>69</v>
      </c>
      <c r="P153" s="4" t="s">
        <v>55</v>
      </c>
      <c r="Q153" s="4" t="s">
        <v>17</v>
      </c>
      <c r="R153" s="4" t="s">
        <v>56</v>
      </c>
      <c r="S153" s="4"/>
      <c r="T153" s="11"/>
      <c r="U153" s="14"/>
    </row>
    <row r="154" spans="1:21" ht="45" hidden="1" customHeight="1">
      <c r="A154" s="9">
        <v>153</v>
      </c>
      <c r="B154" s="4" t="s">
        <v>64</v>
      </c>
      <c r="C154" s="4" t="s">
        <v>7</v>
      </c>
      <c r="D154" s="4" t="s">
        <v>479</v>
      </c>
      <c r="E154" s="10" t="s">
        <v>57</v>
      </c>
      <c r="F154" s="4">
        <v>63077993</v>
      </c>
      <c r="G154" s="4" t="s">
        <v>419</v>
      </c>
      <c r="H154" s="11">
        <v>46223</v>
      </c>
      <c r="I154" s="12">
        <v>8800</v>
      </c>
      <c r="J154" s="4"/>
      <c r="K154" s="4"/>
      <c r="L154" s="4"/>
      <c r="M154" s="4" t="s">
        <v>67</v>
      </c>
      <c r="N154" s="13" t="s">
        <v>480</v>
      </c>
      <c r="O154" s="4" t="s">
        <v>69</v>
      </c>
      <c r="P154" s="4" t="s">
        <v>55</v>
      </c>
      <c r="Q154" s="4" t="s">
        <v>17</v>
      </c>
      <c r="R154" s="4" t="s">
        <v>56</v>
      </c>
      <c r="S154" s="4"/>
      <c r="T154" s="11"/>
      <c r="U154" s="14"/>
    </row>
    <row r="155" spans="1:21" ht="45" customHeight="1">
      <c r="A155" s="9">
        <v>69</v>
      </c>
      <c r="B155" s="4" t="s">
        <v>64</v>
      </c>
      <c r="C155" s="4" t="s">
        <v>8</v>
      </c>
      <c r="D155" s="4" t="s">
        <v>248</v>
      </c>
      <c r="E155" s="10" t="s">
        <v>57</v>
      </c>
      <c r="F155" s="4">
        <v>58573620</v>
      </c>
      <c r="G155" s="4" t="s">
        <v>90</v>
      </c>
      <c r="H155" s="11">
        <v>46162</v>
      </c>
      <c r="I155" s="12">
        <v>12100</v>
      </c>
      <c r="J155" s="4"/>
      <c r="K155" s="4" t="s">
        <v>91</v>
      </c>
      <c r="L155" s="4"/>
      <c r="M155" s="4" t="s">
        <v>73</v>
      </c>
      <c r="N155" s="13" t="s">
        <v>74</v>
      </c>
      <c r="O155" s="4" t="s">
        <v>75</v>
      </c>
      <c r="P155" s="4" t="s">
        <v>55</v>
      </c>
      <c r="Q155" s="4" t="s">
        <v>17</v>
      </c>
      <c r="R155" s="4" t="s">
        <v>56</v>
      </c>
      <c r="S155" s="4"/>
      <c r="T155" s="11"/>
      <c r="U155" s="14"/>
    </row>
    <row r="156" spans="1:21" ht="45" hidden="1" customHeight="1">
      <c r="A156" s="9">
        <v>155</v>
      </c>
      <c r="B156" s="4" t="s">
        <v>64</v>
      </c>
      <c r="C156" s="4" t="s">
        <v>9</v>
      </c>
      <c r="D156" s="4" t="s">
        <v>482</v>
      </c>
      <c r="E156" s="10" t="s">
        <v>57</v>
      </c>
      <c r="F156" s="4">
        <v>63110944</v>
      </c>
      <c r="G156" s="4" t="s">
        <v>483</v>
      </c>
      <c r="H156" s="11">
        <v>46223</v>
      </c>
      <c r="I156" s="12">
        <v>1584000</v>
      </c>
      <c r="J156" s="4"/>
      <c r="K156" s="4"/>
      <c r="L156" s="4"/>
      <c r="M156" s="4" t="s">
        <v>78</v>
      </c>
      <c r="N156" s="13" t="s">
        <v>484</v>
      </c>
      <c r="O156" s="4" t="s">
        <v>69</v>
      </c>
      <c r="P156" s="4" t="s">
        <v>55</v>
      </c>
      <c r="Q156" s="4" t="s">
        <v>17</v>
      </c>
      <c r="R156" s="4" t="s">
        <v>56</v>
      </c>
      <c r="S156" s="4"/>
      <c r="T156" s="11"/>
      <c r="U156" s="14"/>
    </row>
    <row r="157" spans="1:21" ht="45" hidden="1" customHeight="1">
      <c r="A157" s="9">
        <v>156</v>
      </c>
      <c r="B157" s="4" t="s">
        <v>64</v>
      </c>
      <c r="C157" s="4" t="s">
        <v>9</v>
      </c>
      <c r="D157" s="4" t="s">
        <v>485</v>
      </c>
      <c r="E157" s="10" t="s">
        <v>57</v>
      </c>
      <c r="F157" s="4">
        <v>63110969</v>
      </c>
      <c r="G157" s="4" t="s">
        <v>486</v>
      </c>
      <c r="H157" s="11">
        <v>46223</v>
      </c>
      <c r="I157" s="12">
        <v>35200</v>
      </c>
      <c r="J157" s="4"/>
      <c r="K157" s="4"/>
      <c r="L157" s="4"/>
      <c r="M157" s="4" t="s">
        <v>78</v>
      </c>
      <c r="N157" s="13" t="s">
        <v>487</v>
      </c>
      <c r="O157" s="4" t="s">
        <v>69</v>
      </c>
      <c r="P157" s="4" t="s">
        <v>55</v>
      </c>
      <c r="Q157" s="4" t="s">
        <v>17</v>
      </c>
      <c r="R157" s="4" t="s">
        <v>56</v>
      </c>
      <c r="S157" s="4"/>
      <c r="T157" s="11"/>
      <c r="U157" s="14"/>
    </row>
    <row r="158" spans="1:21" ht="45" hidden="1" customHeight="1">
      <c r="A158" s="9">
        <v>157</v>
      </c>
      <c r="B158" s="4" t="s">
        <v>64</v>
      </c>
      <c r="C158" s="4" t="s">
        <v>9</v>
      </c>
      <c r="D158" s="4" t="s">
        <v>488</v>
      </c>
      <c r="E158" s="10" t="s">
        <v>57</v>
      </c>
      <c r="F158" s="4">
        <v>63120578</v>
      </c>
      <c r="G158" s="4" t="s">
        <v>489</v>
      </c>
      <c r="H158" s="11">
        <v>46223</v>
      </c>
      <c r="I158" s="12">
        <v>8800</v>
      </c>
      <c r="J158" s="4"/>
      <c r="K158" s="4"/>
      <c r="L158" s="4"/>
      <c r="M158" s="4" t="s">
        <v>78</v>
      </c>
      <c r="N158" s="13" t="s">
        <v>490</v>
      </c>
      <c r="O158" s="4" t="s">
        <v>69</v>
      </c>
      <c r="P158" s="4" t="s">
        <v>55</v>
      </c>
      <c r="Q158" s="4" t="s">
        <v>17</v>
      </c>
      <c r="R158" s="4" t="s">
        <v>56</v>
      </c>
      <c r="S158" s="4"/>
      <c r="T158" s="11"/>
      <c r="U158" s="14"/>
    </row>
    <row r="159" spans="1:21" ht="45" customHeight="1">
      <c r="A159" s="9">
        <v>71</v>
      </c>
      <c r="B159" s="4" t="s">
        <v>64</v>
      </c>
      <c r="C159" s="4" t="s">
        <v>8</v>
      </c>
      <c r="D159" s="4" t="s">
        <v>251</v>
      </c>
      <c r="E159" s="10" t="s">
        <v>57</v>
      </c>
      <c r="F159" s="4">
        <v>58573624</v>
      </c>
      <c r="G159" s="4" t="s">
        <v>96</v>
      </c>
      <c r="H159" s="11">
        <v>46162</v>
      </c>
      <c r="I159" s="12">
        <v>12100</v>
      </c>
      <c r="J159" s="4"/>
      <c r="K159" s="4" t="s">
        <v>97</v>
      </c>
      <c r="L159" s="4"/>
      <c r="M159" s="4" t="s">
        <v>73</v>
      </c>
      <c r="N159" s="13" t="s">
        <v>74</v>
      </c>
      <c r="O159" s="4" t="s">
        <v>75</v>
      </c>
      <c r="P159" s="4" t="s">
        <v>55</v>
      </c>
      <c r="Q159" s="4" t="s">
        <v>17</v>
      </c>
      <c r="R159" s="4" t="s">
        <v>56</v>
      </c>
      <c r="S159" s="4"/>
      <c r="T159" s="11"/>
      <c r="U159" s="14"/>
    </row>
    <row r="160" spans="1:21" ht="45" hidden="1" customHeight="1">
      <c r="A160" s="9">
        <v>159</v>
      </c>
      <c r="B160" s="4" t="s">
        <v>64</v>
      </c>
      <c r="C160" s="4" t="s">
        <v>7</v>
      </c>
      <c r="D160" s="4" t="s">
        <v>493</v>
      </c>
      <c r="E160" s="10" t="s">
        <v>57</v>
      </c>
      <c r="F160" s="4">
        <v>63125666</v>
      </c>
      <c r="G160" s="4" t="s">
        <v>305</v>
      </c>
      <c r="H160" s="11">
        <v>46223</v>
      </c>
      <c r="I160" s="12">
        <v>52800</v>
      </c>
      <c r="J160" s="4"/>
      <c r="K160" s="4"/>
      <c r="L160" s="4"/>
      <c r="M160" s="4" t="s">
        <v>67</v>
      </c>
      <c r="N160" s="13" t="s">
        <v>494</v>
      </c>
      <c r="O160" s="4" t="s">
        <v>69</v>
      </c>
      <c r="P160" s="4" t="s">
        <v>55</v>
      </c>
      <c r="Q160" s="4" t="s">
        <v>17</v>
      </c>
      <c r="R160" s="4" t="s">
        <v>56</v>
      </c>
      <c r="S160" s="4"/>
      <c r="T160" s="11"/>
      <c r="U160" s="14"/>
    </row>
    <row r="161" spans="1:21" ht="45" hidden="1" customHeight="1">
      <c r="A161" s="9">
        <v>160</v>
      </c>
      <c r="B161" s="4" t="s">
        <v>64</v>
      </c>
      <c r="C161" s="4" t="s">
        <v>7</v>
      </c>
      <c r="D161" s="4" t="s">
        <v>495</v>
      </c>
      <c r="E161" s="10" t="s">
        <v>57</v>
      </c>
      <c r="F161" s="4">
        <v>63125722</v>
      </c>
      <c r="G161" s="4" t="s">
        <v>150</v>
      </c>
      <c r="H161" s="11">
        <v>46223</v>
      </c>
      <c r="I161" s="12">
        <v>17600</v>
      </c>
      <c r="J161" s="4"/>
      <c r="K161" s="4"/>
      <c r="L161" s="4"/>
      <c r="M161" s="4" t="s">
        <v>67</v>
      </c>
      <c r="N161" s="13" t="s">
        <v>496</v>
      </c>
      <c r="O161" s="4" t="s">
        <v>69</v>
      </c>
      <c r="P161" s="4" t="s">
        <v>55</v>
      </c>
      <c r="Q161" s="4" t="s">
        <v>17</v>
      </c>
      <c r="R161" s="4" t="s">
        <v>56</v>
      </c>
      <c r="S161" s="4"/>
      <c r="T161" s="11"/>
      <c r="U161" s="14"/>
    </row>
    <row r="162" spans="1:21" ht="45" hidden="1" customHeight="1">
      <c r="A162" s="9">
        <v>161</v>
      </c>
      <c r="B162" s="4" t="s">
        <v>64</v>
      </c>
      <c r="C162" s="4" t="s">
        <v>9</v>
      </c>
      <c r="D162" s="4" t="s">
        <v>497</v>
      </c>
      <c r="E162" s="10" t="s">
        <v>57</v>
      </c>
      <c r="F162" s="4">
        <v>63126510</v>
      </c>
      <c r="G162" s="4" t="s">
        <v>208</v>
      </c>
      <c r="H162" s="11">
        <v>46223</v>
      </c>
      <c r="I162" s="12">
        <v>2244000</v>
      </c>
      <c r="J162" s="4"/>
      <c r="K162" s="4"/>
      <c r="L162" s="4"/>
      <c r="M162" s="4" t="s">
        <v>118</v>
      </c>
      <c r="N162" s="13" t="s">
        <v>498</v>
      </c>
      <c r="O162" s="4" t="s">
        <v>69</v>
      </c>
      <c r="P162" s="4" t="s">
        <v>55</v>
      </c>
      <c r="Q162" s="4" t="s">
        <v>17</v>
      </c>
      <c r="R162" s="4" t="s">
        <v>56</v>
      </c>
      <c r="S162" s="4"/>
      <c r="T162" s="11"/>
      <c r="U162" s="14"/>
    </row>
    <row r="163" spans="1:21" ht="45" customHeight="1">
      <c r="A163" s="9">
        <v>165</v>
      </c>
      <c r="B163" s="4" t="s">
        <v>64</v>
      </c>
      <c r="C163" s="4" t="s">
        <v>8</v>
      </c>
      <c r="D163" s="4" t="s">
        <v>505</v>
      </c>
      <c r="E163" s="10" t="s">
        <v>57</v>
      </c>
      <c r="F163" s="4">
        <v>63150542</v>
      </c>
      <c r="G163" s="4" t="s">
        <v>71</v>
      </c>
      <c r="H163" s="11">
        <v>46223</v>
      </c>
      <c r="I163" s="12">
        <v>12100</v>
      </c>
      <c r="J163" s="4"/>
      <c r="K163" s="4" t="s">
        <v>72</v>
      </c>
      <c r="L163" s="4"/>
      <c r="M163" s="4" t="s">
        <v>73</v>
      </c>
      <c r="N163" s="13" t="s">
        <v>74</v>
      </c>
      <c r="O163" s="4" t="s">
        <v>75</v>
      </c>
      <c r="P163" s="4" t="s">
        <v>55</v>
      </c>
      <c r="Q163" s="4" t="s">
        <v>17</v>
      </c>
      <c r="R163" s="4" t="s">
        <v>56</v>
      </c>
      <c r="S163" s="4"/>
      <c r="T163" s="11"/>
      <c r="U163" s="14"/>
    </row>
    <row r="164" spans="1:21" ht="45" hidden="1" customHeight="1">
      <c r="A164" s="9">
        <v>163</v>
      </c>
      <c r="B164" s="4" t="s">
        <v>64</v>
      </c>
      <c r="C164" s="4" t="s">
        <v>7</v>
      </c>
      <c r="D164" s="4" t="s">
        <v>501</v>
      </c>
      <c r="E164" s="10" t="s">
        <v>57</v>
      </c>
      <c r="F164" s="4">
        <v>63128994</v>
      </c>
      <c r="G164" s="4" t="s">
        <v>502</v>
      </c>
      <c r="H164" s="11">
        <v>46223</v>
      </c>
      <c r="I164" s="12">
        <v>82500</v>
      </c>
      <c r="J164" s="4"/>
      <c r="K164" s="4"/>
      <c r="L164" s="4"/>
      <c r="M164" s="4" t="s">
        <v>67</v>
      </c>
      <c r="N164" s="13" t="s">
        <v>503</v>
      </c>
      <c r="O164" s="4" t="s">
        <v>69</v>
      </c>
      <c r="P164" s="4" t="s">
        <v>55</v>
      </c>
      <c r="Q164" s="4" t="s">
        <v>17</v>
      </c>
      <c r="R164" s="4" t="s">
        <v>56</v>
      </c>
      <c r="S164" s="4"/>
      <c r="T164" s="11"/>
      <c r="U164" s="14"/>
    </row>
    <row r="165" spans="1:21" ht="45" customHeight="1">
      <c r="A165" s="9">
        <v>168</v>
      </c>
      <c r="B165" s="4" t="s">
        <v>64</v>
      </c>
      <c r="C165" s="4" t="s">
        <v>8</v>
      </c>
      <c r="D165" s="4" t="s">
        <v>509</v>
      </c>
      <c r="E165" s="10" t="s">
        <v>57</v>
      </c>
      <c r="F165" s="4">
        <v>63150547</v>
      </c>
      <c r="G165" s="4" t="s">
        <v>90</v>
      </c>
      <c r="H165" s="11">
        <v>46223</v>
      </c>
      <c r="I165" s="12">
        <v>12100</v>
      </c>
      <c r="J165" s="4"/>
      <c r="K165" s="4" t="s">
        <v>91</v>
      </c>
      <c r="L165" s="4"/>
      <c r="M165" s="4" t="s">
        <v>73</v>
      </c>
      <c r="N165" s="13" t="s">
        <v>74</v>
      </c>
      <c r="O165" s="4" t="s">
        <v>75</v>
      </c>
      <c r="P165" s="4" t="s">
        <v>55</v>
      </c>
      <c r="Q165" s="4" t="s">
        <v>17</v>
      </c>
      <c r="R165" s="4" t="s">
        <v>56</v>
      </c>
      <c r="S165" s="4"/>
      <c r="T165" s="11"/>
      <c r="U165" s="14"/>
    </row>
    <row r="166" spans="1:21" ht="45" customHeight="1">
      <c r="A166" s="9">
        <v>169</v>
      </c>
      <c r="B166" s="4" t="s">
        <v>64</v>
      </c>
      <c r="C166" s="4" t="s">
        <v>8</v>
      </c>
      <c r="D166" s="4" t="s">
        <v>510</v>
      </c>
      <c r="E166" s="10" t="s">
        <v>57</v>
      </c>
      <c r="F166" s="4">
        <v>63150549</v>
      </c>
      <c r="G166" s="4" t="s">
        <v>96</v>
      </c>
      <c r="H166" s="11">
        <v>46223</v>
      </c>
      <c r="I166" s="12">
        <v>12100</v>
      </c>
      <c r="J166" s="4"/>
      <c r="K166" s="4" t="s">
        <v>97</v>
      </c>
      <c r="L166" s="4"/>
      <c r="M166" s="4" t="s">
        <v>73</v>
      </c>
      <c r="N166" s="13" t="s">
        <v>74</v>
      </c>
      <c r="O166" s="4" t="s">
        <v>75</v>
      </c>
      <c r="P166" s="4" t="s">
        <v>55</v>
      </c>
      <c r="Q166" s="4" t="s">
        <v>17</v>
      </c>
      <c r="R166" s="4" t="s">
        <v>56</v>
      </c>
      <c r="S166" s="4"/>
      <c r="T166" s="11"/>
      <c r="U166" s="14"/>
    </row>
    <row r="167" spans="1:21" ht="45" hidden="1" customHeight="1">
      <c r="A167" s="9">
        <v>166</v>
      </c>
      <c r="B167" s="4" t="s">
        <v>64</v>
      </c>
      <c r="C167" s="4" t="s">
        <v>9</v>
      </c>
      <c r="D167" s="4" t="s">
        <v>506</v>
      </c>
      <c r="E167" s="10" t="s">
        <v>57</v>
      </c>
      <c r="F167" s="4">
        <v>63150544</v>
      </c>
      <c r="G167" s="4" t="s">
        <v>77</v>
      </c>
      <c r="H167" s="11">
        <v>46223</v>
      </c>
      <c r="I167" s="12">
        <v>12100</v>
      </c>
      <c r="J167" s="4"/>
      <c r="K167" s="4"/>
      <c r="L167" s="4"/>
      <c r="M167" s="4" t="s">
        <v>78</v>
      </c>
      <c r="N167" s="13" t="s">
        <v>507</v>
      </c>
      <c r="O167" s="4" t="s">
        <v>69</v>
      </c>
      <c r="P167" s="4" t="s">
        <v>55</v>
      </c>
      <c r="Q167" s="4" t="s">
        <v>17</v>
      </c>
      <c r="R167" s="4" t="s">
        <v>56</v>
      </c>
      <c r="S167" s="4"/>
      <c r="T167" s="11"/>
      <c r="U167" s="14"/>
    </row>
    <row r="168" spans="1:21" ht="45" customHeight="1">
      <c r="A168" s="9">
        <v>22</v>
      </c>
      <c r="B168" s="4" t="s">
        <v>64</v>
      </c>
      <c r="C168" s="4" t="s">
        <v>8</v>
      </c>
      <c r="D168" s="4" t="s">
        <v>133</v>
      </c>
      <c r="E168" s="10" t="s">
        <v>57</v>
      </c>
      <c r="F168" s="4">
        <v>54153867</v>
      </c>
      <c r="G168" s="4" t="s">
        <v>134</v>
      </c>
      <c r="H168" s="11">
        <v>46101</v>
      </c>
      <c r="I168" s="12">
        <v>12100</v>
      </c>
      <c r="J168" s="4"/>
      <c r="K168" s="4" t="s">
        <v>135</v>
      </c>
      <c r="L168" s="4"/>
      <c r="M168" s="4" t="s">
        <v>73</v>
      </c>
      <c r="N168" s="13" t="s">
        <v>136</v>
      </c>
      <c r="O168" s="4" t="s">
        <v>88</v>
      </c>
      <c r="P168" s="4" t="s">
        <v>55</v>
      </c>
      <c r="Q168" s="4" t="s">
        <v>17</v>
      </c>
      <c r="R168" s="4" t="s">
        <v>56</v>
      </c>
      <c r="S168" s="4"/>
      <c r="T168" s="11"/>
      <c r="U168" s="14"/>
    </row>
    <row r="169" spans="1:21" ht="45" customHeight="1">
      <c r="A169" s="9">
        <v>43</v>
      </c>
      <c r="B169" s="4" t="s">
        <v>64</v>
      </c>
      <c r="C169" s="4" t="s">
        <v>8</v>
      </c>
      <c r="D169" s="4" t="s">
        <v>181</v>
      </c>
      <c r="E169" s="10" t="s">
        <v>57</v>
      </c>
      <c r="F169" s="4">
        <v>56527560</v>
      </c>
      <c r="G169" s="4" t="s">
        <v>134</v>
      </c>
      <c r="H169" s="11">
        <v>46132</v>
      </c>
      <c r="I169" s="12">
        <v>12100</v>
      </c>
      <c r="J169" s="4"/>
      <c r="K169" s="4" t="s">
        <v>135</v>
      </c>
      <c r="L169" s="4"/>
      <c r="M169" s="4" t="s">
        <v>73</v>
      </c>
      <c r="N169" s="13" t="s">
        <v>136</v>
      </c>
      <c r="O169" s="4" t="s">
        <v>88</v>
      </c>
      <c r="P169" s="4" t="s">
        <v>55</v>
      </c>
      <c r="Q169" s="4" t="s">
        <v>17</v>
      </c>
      <c r="R169" s="4" t="s">
        <v>56</v>
      </c>
      <c r="S169" s="4"/>
      <c r="T169" s="11"/>
      <c r="U169" s="14"/>
    </row>
    <row r="170" spans="1:21" ht="45" customHeight="1">
      <c r="A170" s="9">
        <v>80</v>
      </c>
      <c r="B170" s="4" t="s">
        <v>64</v>
      </c>
      <c r="C170" s="4" t="s">
        <v>8</v>
      </c>
      <c r="D170" s="4" t="s">
        <v>268</v>
      </c>
      <c r="E170" s="10" t="s">
        <v>57</v>
      </c>
      <c r="F170" s="4">
        <v>58573656</v>
      </c>
      <c r="G170" s="4" t="s">
        <v>134</v>
      </c>
      <c r="H170" s="11">
        <v>46162</v>
      </c>
      <c r="I170" s="12">
        <v>12100</v>
      </c>
      <c r="J170" s="4"/>
      <c r="K170" s="4" t="s">
        <v>135</v>
      </c>
      <c r="L170" s="4"/>
      <c r="M170" s="4" t="s">
        <v>73</v>
      </c>
      <c r="N170" s="13" t="s">
        <v>136</v>
      </c>
      <c r="O170" s="4" t="s">
        <v>88</v>
      </c>
      <c r="P170" s="4" t="s">
        <v>55</v>
      </c>
      <c r="Q170" s="4" t="s">
        <v>17</v>
      </c>
      <c r="R170" s="4" t="s">
        <v>56</v>
      </c>
      <c r="S170" s="4"/>
      <c r="T170" s="11"/>
      <c r="U170" s="14"/>
    </row>
    <row r="171" spans="1:21" ht="45" hidden="1" customHeight="1">
      <c r="A171" s="9">
        <v>170</v>
      </c>
      <c r="B171" s="4" t="s">
        <v>64</v>
      </c>
      <c r="C171" s="4" t="s">
        <v>7</v>
      </c>
      <c r="D171" s="4" t="s">
        <v>511</v>
      </c>
      <c r="E171" s="10" t="s">
        <v>57</v>
      </c>
      <c r="F171" s="4">
        <v>63150551</v>
      </c>
      <c r="G171" s="4" t="s">
        <v>99</v>
      </c>
      <c r="H171" s="11">
        <v>46223</v>
      </c>
      <c r="I171" s="12">
        <v>8800</v>
      </c>
      <c r="J171" s="4"/>
      <c r="K171" s="4"/>
      <c r="L171" s="4"/>
      <c r="M171" s="4" t="s">
        <v>67</v>
      </c>
      <c r="N171" s="13" t="s">
        <v>512</v>
      </c>
      <c r="O171" s="4" t="s">
        <v>69</v>
      </c>
      <c r="P171" s="4" t="s">
        <v>55</v>
      </c>
      <c r="Q171" s="4" t="s">
        <v>17</v>
      </c>
      <c r="R171" s="4" t="s">
        <v>56</v>
      </c>
      <c r="S171" s="4"/>
      <c r="T171" s="11"/>
      <c r="U171" s="14"/>
    </row>
    <row r="172" spans="1:21" ht="45" hidden="1" customHeight="1">
      <c r="A172" s="9">
        <v>171</v>
      </c>
      <c r="B172" s="4" t="s">
        <v>64</v>
      </c>
      <c r="C172" s="4" t="s">
        <v>7</v>
      </c>
      <c r="D172" s="4" t="s">
        <v>513</v>
      </c>
      <c r="E172" s="10" t="s">
        <v>57</v>
      </c>
      <c r="F172" s="4">
        <v>63150553</v>
      </c>
      <c r="G172" s="4" t="s">
        <v>102</v>
      </c>
      <c r="H172" s="11">
        <v>46223</v>
      </c>
      <c r="I172" s="12">
        <v>12100</v>
      </c>
      <c r="J172" s="4"/>
      <c r="K172" s="4"/>
      <c r="L172" s="4"/>
      <c r="M172" s="4" t="s">
        <v>67</v>
      </c>
      <c r="N172" s="13" t="s">
        <v>514</v>
      </c>
      <c r="O172" s="4" t="s">
        <v>69</v>
      </c>
      <c r="P172" s="4" t="s">
        <v>55</v>
      </c>
      <c r="Q172" s="4" t="s">
        <v>17</v>
      </c>
      <c r="R172" s="4" t="s">
        <v>56</v>
      </c>
      <c r="S172" s="4"/>
      <c r="T172" s="11"/>
      <c r="U172" s="14"/>
    </row>
    <row r="173" spans="1:21" ht="45" hidden="1" customHeight="1">
      <c r="A173" s="9">
        <v>172</v>
      </c>
      <c r="B173" s="4" t="s">
        <v>64</v>
      </c>
      <c r="C173" s="4" t="s">
        <v>7</v>
      </c>
      <c r="D173" s="4" t="s">
        <v>515</v>
      </c>
      <c r="E173" s="10" t="s">
        <v>57</v>
      </c>
      <c r="F173" s="4">
        <v>63150554</v>
      </c>
      <c r="G173" s="4" t="s">
        <v>105</v>
      </c>
      <c r="H173" s="11">
        <v>46223</v>
      </c>
      <c r="I173" s="12">
        <v>48400</v>
      </c>
      <c r="J173" s="4"/>
      <c r="K173" s="4"/>
      <c r="L173" s="4"/>
      <c r="M173" s="4" t="s">
        <v>67</v>
      </c>
      <c r="N173" s="13" t="s">
        <v>516</v>
      </c>
      <c r="O173" s="4" t="s">
        <v>69</v>
      </c>
      <c r="P173" s="4" t="s">
        <v>55</v>
      </c>
      <c r="Q173" s="4" t="s">
        <v>17</v>
      </c>
      <c r="R173" s="4" t="s">
        <v>56</v>
      </c>
      <c r="S173" s="4"/>
      <c r="T173" s="11"/>
      <c r="U173" s="14"/>
    </row>
    <row r="174" spans="1:21" ht="45" hidden="1" customHeight="1">
      <c r="A174" s="9">
        <v>173</v>
      </c>
      <c r="B174" s="4" t="s">
        <v>64</v>
      </c>
      <c r="C174" s="4" t="s">
        <v>7</v>
      </c>
      <c r="D174" s="4" t="s">
        <v>517</v>
      </c>
      <c r="E174" s="10" t="s">
        <v>57</v>
      </c>
      <c r="F174" s="4">
        <v>63150555</v>
      </c>
      <c r="G174" s="4" t="s">
        <v>108</v>
      </c>
      <c r="H174" s="11">
        <v>46223</v>
      </c>
      <c r="I174" s="12">
        <v>8800</v>
      </c>
      <c r="J174" s="4"/>
      <c r="K174" s="4"/>
      <c r="L174" s="4"/>
      <c r="M174" s="4" t="s">
        <v>67</v>
      </c>
      <c r="N174" s="13" t="s">
        <v>518</v>
      </c>
      <c r="O174" s="4" t="s">
        <v>69</v>
      </c>
      <c r="P174" s="4" t="s">
        <v>55</v>
      </c>
      <c r="Q174" s="4" t="s">
        <v>17</v>
      </c>
      <c r="R174" s="4" t="s">
        <v>56</v>
      </c>
      <c r="S174" s="4"/>
      <c r="T174" s="11"/>
      <c r="U174" s="14"/>
    </row>
    <row r="175" spans="1:21" ht="45" hidden="1" customHeight="1">
      <c r="A175" s="9">
        <v>174</v>
      </c>
      <c r="B175" s="4" t="s">
        <v>64</v>
      </c>
      <c r="C175" s="4" t="s">
        <v>7</v>
      </c>
      <c r="D175" s="4" t="s">
        <v>519</v>
      </c>
      <c r="E175" s="10" t="s">
        <v>57</v>
      </c>
      <c r="F175" s="4">
        <v>63150560</v>
      </c>
      <c r="G175" s="4" t="s">
        <v>362</v>
      </c>
      <c r="H175" s="11">
        <v>46223</v>
      </c>
      <c r="I175" s="12">
        <v>181500</v>
      </c>
      <c r="J175" s="4"/>
      <c r="K175" s="4"/>
      <c r="L175" s="4"/>
      <c r="M175" s="4" t="s">
        <v>67</v>
      </c>
      <c r="N175" s="13" t="s">
        <v>520</v>
      </c>
      <c r="O175" s="4" t="s">
        <v>69</v>
      </c>
      <c r="P175" s="4" t="s">
        <v>55</v>
      </c>
      <c r="Q175" s="4" t="s">
        <v>17</v>
      </c>
      <c r="R175" s="4" t="s">
        <v>56</v>
      </c>
      <c r="S175" s="4"/>
      <c r="T175" s="11"/>
      <c r="U175" s="14"/>
    </row>
    <row r="176" spans="1:21" ht="45" hidden="1" customHeight="1">
      <c r="A176" s="9">
        <v>175</v>
      </c>
      <c r="B176" s="4" t="s">
        <v>64</v>
      </c>
      <c r="C176" s="4" t="s">
        <v>7</v>
      </c>
      <c r="D176" s="4" t="s">
        <v>521</v>
      </c>
      <c r="E176" s="10" t="s">
        <v>57</v>
      </c>
      <c r="F176" s="4">
        <v>63150568</v>
      </c>
      <c r="G176" s="4" t="s">
        <v>121</v>
      </c>
      <c r="H176" s="11">
        <v>46223</v>
      </c>
      <c r="I176" s="12">
        <v>8800</v>
      </c>
      <c r="J176" s="4"/>
      <c r="K176" s="4"/>
      <c r="L176" s="4"/>
      <c r="M176" s="4" t="s">
        <v>67</v>
      </c>
      <c r="N176" s="13" t="s">
        <v>522</v>
      </c>
      <c r="O176" s="4" t="s">
        <v>69</v>
      </c>
      <c r="P176" s="4" t="s">
        <v>55</v>
      </c>
      <c r="Q176" s="4" t="s">
        <v>17</v>
      </c>
      <c r="R176" s="4" t="s">
        <v>56</v>
      </c>
      <c r="S176" s="4"/>
      <c r="T176" s="11"/>
      <c r="U176" s="14"/>
    </row>
    <row r="177" spans="1:21" ht="45" hidden="1" customHeight="1">
      <c r="A177" s="9">
        <v>176</v>
      </c>
      <c r="B177" s="4" t="s">
        <v>64</v>
      </c>
      <c r="C177" s="4" t="s">
        <v>7</v>
      </c>
      <c r="D177" s="4" t="s">
        <v>523</v>
      </c>
      <c r="E177" s="10" t="s">
        <v>57</v>
      </c>
      <c r="F177" s="4">
        <v>63150570</v>
      </c>
      <c r="G177" s="4" t="s">
        <v>127</v>
      </c>
      <c r="H177" s="11">
        <v>46223</v>
      </c>
      <c r="I177" s="12">
        <v>48400</v>
      </c>
      <c r="J177" s="4"/>
      <c r="K177" s="4"/>
      <c r="L177" s="4"/>
      <c r="M177" s="4" t="s">
        <v>67</v>
      </c>
      <c r="N177" s="13" t="s">
        <v>524</v>
      </c>
      <c r="O177" s="4" t="s">
        <v>69</v>
      </c>
      <c r="P177" s="4" t="s">
        <v>55</v>
      </c>
      <c r="Q177" s="4" t="s">
        <v>17</v>
      </c>
      <c r="R177" s="4" t="s">
        <v>56</v>
      </c>
      <c r="S177" s="4"/>
      <c r="T177" s="11"/>
      <c r="U177" s="14"/>
    </row>
    <row r="178" spans="1:21" ht="45" customHeight="1">
      <c r="A178" s="9">
        <v>177</v>
      </c>
      <c r="B178" s="4" t="s">
        <v>64</v>
      </c>
      <c r="C178" s="4" t="s">
        <v>8</v>
      </c>
      <c r="D178" s="4" t="s">
        <v>525</v>
      </c>
      <c r="E178" s="10" t="s">
        <v>57</v>
      </c>
      <c r="F178" s="4">
        <v>63150573</v>
      </c>
      <c r="G178" s="4" t="s">
        <v>134</v>
      </c>
      <c r="H178" s="11">
        <v>46223</v>
      </c>
      <c r="I178" s="12">
        <v>12100</v>
      </c>
      <c r="J178" s="4"/>
      <c r="K178" s="4" t="s">
        <v>135</v>
      </c>
      <c r="L178" s="4"/>
      <c r="M178" s="4" t="s">
        <v>73</v>
      </c>
      <c r="N178" s="13" t="s">
        <v>136</v>
      </c>
      <c r="O178" s="4" t="s">
        <v>88</v>
      </c>
      <c r="P178" s="4" t="s">
        <v>55</v>
      </c>
      <c r="Q178" s="4" t="s">
        <v>17</v>
      </c>
      <c r="R178" s="4" t="s">
        <v>56</v>
      </c>
      <c r="S178" s="4"/>
      <c r="T178" s="11"/>
      <c r="U178" s="14"/>
    </row>
    <row r="179" spans="1:21" ht="45" hidden="1" customHeight="1">
      <c r="A179" s="9">
        <v>178</v>
      </c>
      <c r="B179" s="4" t="s">
        <v>64</v>
      </c>
      <c r="C179" s="4" t="s">
        <v>7</v>
      </c>
      <c r="D179" s="4" t="s">
        <v>526</v>
      </c>
      <c r="E179" s="10" t="s">
        <v>57</v>
      </c>
      <c r="F179" s="4">
        <v>63150578</v>
      </c>
      <c r="G179" s="4" t="s">
        <v>138</v>
      </c>
      <c r="H179" s="11">
        <v>46223</v>
      </c>
      <c r="I179" s="12">
        <v>8800</v>
      </c>
      <c r="J179" s="4"/>
      <c r="K179" s="4"/>
      <c r="L179" s="4"/>
      <c r="M179" s="4" t="s">
        <v>67</v>
      </c>
      <c r="N179" s="13" t="s">
        <v>527</v>
      </c>
      <c r="O179" s="4" t="s">
        <v>69</v>
      </c>
      <c r="P179" s="4" t="s">
        <v>55</v>
      </c>
      <c r="Q179" s="4" t="s">
        <v>17</v>
      </c>
      <c r="R179" s="4" t="s">
        <v>56</v>
      </c>
      <c r="S179" s="4"/>
      <c r="T179" s="11"/>
      <c r="U179" s="14"/>
    </row>
    <row r="180" spans="1:21" ht="45" hidden="1" customHeight="1">
      <c r="A180" s="9">
        <v>179</v>
      </c>
      <c r="B180" s="4" t="s">
        <v>64</v>
      </c>
      <c r="C180" s="4" t="s">
        <v>7</v>
      </c>
      <c r="D180" s="4" t="s">
        <v>528</v>
      </c>
      <c r="E180" s="10" t="s">
        <v>57</v>
      </c>
      <c r="F180" s="4">
        <v>63150580</v>
      </c>
      <c r="G180" s="4" t="s">
        <v>141</v>
      </c>
      <c r="H180" s="11">
        <v>46223</v>
      </c>
      <c r="I180" s="12">
        <v>8800</v>
      </c>
      <c r="J180" s="4"/>
      <c r="K180" s="4"/>
      <c r="L180" s="4"/>
      <c r="M180" s="4" t="s">
        <v>67</v>
      </c>
      <c r="N180" s="13" t="s">
        <v>529</v>
      </c>
      <c r="O180" s="4" t="s">
        <v>69</v>
      </c>
      <c r="P180" s="4" t="s">
        <v>55</v>
      </c>
      <c r="Q180" s="4" t="s">
        <v>17</v>
      </c>
      <c r="R180" s="4" t="s">
        <v>56</v>
      </c>
      <c r="S180" s="4"/>
      <c r="T180" s="11"/>
      <c r="U180" s="14"/>
    </row>
    <row r="181" spans="1:21" ht="45" hidden="1" customHeight="1">
      <c r="A181" s="15">
        <v>180</v>
      </c>
      <c r="B181" s="16" t="s">
        <v>64</v>
      </c>
      <c r="C181" s="16" t="s">
        <v>9</v>
      </c>
      <c r="D181" s="16" t="s">
        <v>530</v>
      </c>
      <c r="E181" s="17" t="s">
        <v>57</v>
      </c>
      <c r="F181" s="16">
        <v>63150583</v>
      </c>
      <c r="G181" s="16" t="s">
        <v>531</v>
      </c>
      <c r="H181" s="18">
        <v>46234</v>
      </c>
      <c r="I181" s="19">
        <v>6600000</v>
      </c>
      <c r="J181" s="16"/>
      <c r="K181" s="16"/>
      <c r="L181" s="16"/>
      <c r="M181" s="16" t="s">
        <v>118</v>
      </c>
      <c r="N181" s="20" t="s">
        <v>532</v>
      </c>
      <c r="O181" s="16" t="s">
        <v>69</v>
      </c>
      <c r="P181" s="16" t="s">
        <v>55</v>
      </c>
      <c r="Q181" s="16" t="s">
        <v>17</v>
      </c>
      <c r="R181" s="16" t="s">
        <v>56</v>
      </c>
      <c r="S181" s="16"/>
      <c r="T181" s="18"/>
      <c r="U181" s="21"/>
    </row>
  </sheetData>
  <phoneticPr fontId="4"/>
  <conditionalFormatting sqref="B2:B181">
    <cfRule type="expression" dxfId="4" priority="1" stopIfTrue="1">
      <formula>$B2="高"</formula>
    </cfRule>
    <cfRule type="expression" dxfId="3" priority="2" stopIfTrue="1">
      <formula>$B2="中"</formula>
    </cfRule>
  </conditionalFormatting>
  <conditionalFormatting sqref="Q2:Q181">
    <cfRule type="expression" dxfId="2" priority="3" stopIfTrue="1">
      <formula>$Q2="対応済み"</formula>
    </cfRule>
    <cfRule type="expression" dxfId="1" priority="4" stopIfTrue="1">
      <formula>$Q2="対応待ち"</formula>
    </cfRule>
    <cfRule type="expression" dxfId="0" priority="5" stopIfTrue="1">
      <formula>$Q2="確認中"</formula>
    </cfRule>
  </conditionalFormatting>
  <dataValidations count="3">
    <dataValidation type="list" allowBlank="1" showInputMessage="1" showErrorMessage="1" sqref="P2:P181" xr:uid="{A1F30C95-CF90-4413-854A-C89B9602770E}">
      <formula1>"経理,システム管理者,営業"</formula1>
    </dataValidation>
    <dataValidation type="list" allowBlank="1" showInputMessage="1" showErrorMessage="1" sqref="Q2:Q181" xr:uid="{24AA6526-316B-4FA9-A077-1384740E5923}">
      <formula1>"未確認,確認中,対応待ち,対応済み,対象外"</formula1>
    </dataValidation>
    <dataValidation type="list" allowBlank="1" showInputMessage="1" showErrorMessage="1" sqref="R2:R181" xr:uid="{22C9EC5B-1D73-4427-83A7-7296739F76D6}">
      <formula1>"未入力,承認,修正必要,保留"</formula1>
    </dataValidation>
  </dataValidations>
  <hyperlinks>
    <hyperlink ref="E2" r:id="rId1" tooltip="Salesforceレコードを開く" xr:uid="{4B4C3C04-10A3-4488-AC83-85CDD3D88B7B}"/>
    <hyperlink ref="E3" r:id="rId2" tooltip="Salesforceレコードを開く" xr:uid="{3FD19678-A565-42F2-BC57-9564C990F804}"/>
    <hyperlink ref="E4" r:id="rId3" tooltip="Salesforceレコードを開く" xr:uid="{4484D44A-AE5A-4AE6-8EE4-C0CAEABC5FB0}"/>
    <hyperlink ref="E91" r:id="rId4" tooltip="Salesforceレコードを開く" xr:uid="{0D993D4C-1624-41D5-B30C-128EDEFD130F}"/>
    <hyperlink ref="E6" r:id="rId5" tooltip="Salesforceレコードを開く" xr:uid="{06B582FF-27FB-42EB-A06B-577327DF8A6A}"/>
    <hyperlink ref="E7" r:id="rId6" tooltip="Salesforceレコードを開く" xr:uid="{0E0C9B4A-C20E-4173-805A-F03C0E61AFA1}"/>
    <hyperlink ref="E49" r:id="rId7" tooltip="Salesforceレコードを開く" xr:uid="{047B54DA-9E6D-45D6-9689-0257AE177A33}"/>
    <hyperlink ref="E106" r:id="rId8" tooltip="Salesforceレコードを開く" xr:uid="{946E717B-B05A-4B44-BDB1-2D49D3DD27BD}"/>
    <hyperlink ref="E10" r:id="rId9" tooltip="Salesforceレコードを開く" xr:uid="{A28F0FDC-1821-4A69-BEA5-CD3AFF391A5D}"/>
    <hyperlink ref="E129" r:id="rId10" tooltip="Salesforceレコードを開く" xr:uid="{042BB03B-3FB2-43C1-8C8C-90BDE45802B2}"/>
    <hyperlink ref="E12" r:id="rId11" tooltip="Salesforceレコードを開く" xr:uid="{1D00699B-8F39-48F3-BC47-66C3A3D81238}"/>
    <hyperlink ref="E13" r:id="rId12" tooltip="Salesforceレコードを開く" xr:uid="{F0DA7224-FAB1-4DE5-BBBD-FADCA6286998}"/>
    <hyperlink ref="E14" r:id="rId13" tooltip="Salesforceレコードを開く" xr:uid="{2F262C59-BCE9-4FE8-B0FD-5F369D7BFEB9}"/>
    <hyperlink ref="E15" r:id="rId14" tooltip="Salesforceレコードを開く" xr:uid="{C78D3119-AF46-44D8-A2B1-5C9CBA7784B8}"/>
    <hyperlink ref="E16" r:id="rId15" tooltip="Salesforceレコードを開く" xr:uid="{8AD5BE43-BE7A-4FD1-86FF-564C47E4CAB7}"/>
    <hyperlink ref="E17" r:id="rId16" tooltip="Salesforceレコードを開く" xr:uid="{33D69F27-41D4-434C-A7F0-4F361DDAC2AD}"/>
    <hyperlink ref="E18" r:id="rId17" tooltip="Salesforceレコードを開く" xr:uid="{2BA7B861-8E22-4FD0-82B8-745778140C88}"/>
    <hyperlink ref="E19" r:id="rId18" tooltip="Salesforceレコードを開く" xr:uid="{6AB5A267-43F7-4A4D-ACBA-2D6966B7A8F5}"/>
    <hyperlink ref="E20" r:id="rId19" tooltip="Salesforceレコードを開く" xr:uid="{F6759D2D-21F6-4B3C-A472-694C64074CE8}"/>
    <hyperlink ref="E21" r:id="rId20" tooltip="Salesforceレコードを開く" xr:uid="{4082FB1A-CDEB-4FCB-B158-3D492A3621A7}"/>
    <hyperlink ref="E81" r:id="rId21" tooltip="Salesforceレコードを開く" xr:uid="{6AF2ABE4-67F6-416D-853C-DD5EA7A11CCA}"/>
    <hyperlink ref="E168" r:id="rId22" tooltip="Salesforceレコードを開く" xr:uid="{5E2E9990-8B96-429B-B02B-E2EA40601E65}"/>
    <hyperlink ref="E24" r:id="rId23" tooltip="Salesforceレコードを開く" xr:uid="{B4778068-E671-4C3A-B074-374255AB689B}"/>
    <hyperlink ref="E25" r:id="rId24" tooltip="Salesforceレコードを開く" xr:uid="{36DC95CD-3AD0-459E-BCE9-35D27E57EDC9}"/>
    <hyperlink ref="E26" r:id="rId25" tooltip="Salesforceレコードを開く" xr:uid="{DB52FB07-FF28-4A69-870B-37264FEFFC8B}"/>
    <hyperlink ref="E27" r:id="rId26" tooltip="Salesforceレコードを開く" xr:uid="{73F9DF56-98FA-4235-979C-AC3AE37BA9AA}"/>
    <hyperlink ref="E28" r:id="rId27" tooltip="Salesforceレコードを開く" xr:uid="{0DF1ADA2-B342-477D-8515-8B034937AD48}"/>
    <hyperlink ref="E29" r:id="rId28" tooltip="Salesforceレコードを開く" xr:uid="{E24CF198-9E62-40CB-8E17-F1842783DA3F}"/>
    <hyperlink ref="E133" r:id="rId29" tooltip="Salesforceレコードを開く" xr:uid="{CCACE15F-DC7A-4C3F-87B0-56D5C1546035}"/>
    <hyperlink ref="E31" r:id="rId30" tooltip="Salesforceレコードを開く" xr:uid="{E0C8B151-C81E-401F-B6E6-A7F0E9F955AC}"/>
    <hyperlink ref="E33" r:id="rId31" tooltip="Salesforceレコードを開く" xr:uid="{B40FF400-BCFB-4DBF-AC85-1DAE35C2D6A0}"/>
    <hyperlink ref="E136" r:id="rId32" tooltip="Salesforceレコードを開く" xr:uid="{28F88D1F-A142-40F5-878E-4285C449153B}"/>
    <hyperlink ref="E34" r:id="rId33" tooltip="Salesforceレコードを開く" xr:uid="{9E5E51E5-6473-46FA-AB07-287B1ABBE8BC}"/>
    <hyperlink ref="E143" r:id="rId34" tooltip="Salesforceレコードを開く" xr:uid="{E39B6990-85B3-45F4-9E16-D28AD2A4224B}"/>
    <hyperlink ref="E36" r:id="rId35" tooltip="Salesforceレコードを開く" xr:uid="{FE9293C7-4E77-4323-B5F7-B2C8AD9C2C5D}"/>
    <hyperlink ref="E37" r:id="rId36" tooltip="Salesforceレコードを開く" xr:uid="{CB3306BB-20F0-412D-9096-01F320443502}"/>
    <hyperlink ref="E38" r:id="rId37" tooltip="Salesforceレコードを開く" xr:uid="{9226C89A-1823-4272-BD44-B0EB06D87218}"/>
    <hyperlink ref="E39" r:id="rId38" tooltip="Salesforceレコードを開く" xr:uid="{49BE05EB-6CBF-4785-8FB2-E085AB37E61C}"/>
    <hyperlink ref="E40" r:id="rId39" tooltip="Salesforceレコードを開く" xr:uid="{34172BBD-5FBC-4BBA-8BFB-0CEB76605CB5}"/>
    <hyperlink ref="E41" r:id="rId40" tooltip="Salesforceレコードを開く" xr:uid="{DCA2AF6C-296D-4A29-90BB-2F463C6FFF9B}"/>
    <hyperlink ref="E42" r:id="rId41" tooltip="Salesforceレコードを開く" xr:uid="{9F501CC4-A872-4EFF-9F56-EF786FAF5122}"/>
    <hyperlink ref="E43" r:id="rId42" tooltip="Salesforceレコードを開く" xr:uid="{DA9F21B7-203A-4C1B-88F7-A188CA2AAC3D}"/>
    <hyperlink ref="E169" r:id="rId43" tooltip="Salesforceレコードを開く" xr:uid="{90E6260B-DD94-425B-AFC8-B46975BF363E}"/>
    <hyperlink ref="E45" r:id="rId44" tooltip="Salesforceレコードを開く" xr:uid="{DB2C9490-CE20-41E2-A583-041272B70ED6}"/>
    <hyperlink ref="E46" r:id="rId45" tooltip="Salesforceレコードを開く" xr:uid="{C73830DA-38DC-4A86-A550-E32056DE92B7}"/>
    <hyperlink ref="E47" r:id="rId46" tooltip="Salesforceレコードを開く" xr:uid="{EAAF42DC-23AE-4001-BBEF-C788F5E30E70}"/>
    <hyperlink ref="E22" r:id="rId47" tooltip="Salesforceレコードを開く" xr:uid="{E5645C1B-7480-4985-954B-C455ED29F019}"/>
    <hyperlink ref="E69" r:id="rId48" tooltip="Salesforceレコードを開く" xr:uid="{8D67D069-353E-4A2F-82D6-97172B70FB81}"/>
    <hyperlink ref="E72" r:id="rId49" tooltip="Salesforceレコードを開く" xr:uid="{3321C2E8-AD61-47D7-9351-DD5E7171F065}"/>
    <hyperlink ref="E51" r:id="rId50" tooltip="Salesforceレコードを開く" xr:uid="{39135A0E-EAEA-4C95-8706-CBFAAFD8ED6D}"/>
    <hyperlink ref="E52" r:id="rId51" tooltip="Salesforceレコードを開く" xr:uid="{0C5BBEA9-A94A-48F2-B571-FC8390C1C3E2}"/>
    <hyperlink ref="E53" r:id="rId52" tooltip="Salesforceレコードを開く" xr:uid="{D76F9197-FEC9-452C-A3C0-80161F43AD0E}"/>
    <hyperlink ref="E54" r:id="rId53" tooltip="Salesforceレコードを開く" xr:uid="{7007D482-68C3-4B8F-BA85-E79220030C91}"/>
    <hyperlink ref="E55" r:id="rId54" tooltip="Salesforceレコードを開く" xr:uid="{42AEFF7A-C19F-4BD4-A9D9-283174B31CE6}"/>
    <hyperlink ref="E56" r:id="rId55" tooltip="Salesforceレコードを開く" xr:uid="{198C1D62-6157-43FA-9FD7-88AD6698B4A6}"/>
    <hyperlink ref="E57" r:id="rId56" tooltip="Salesforceレコードを開く" xr:uid="{D6360A75-37FB-41F1-9B02-F866D316048D}"/>
    <hyperlink ref="E58" r:id="rId57" tooltip="Salesforceレコードを開く" xr:uid="{555B7E02-1E03-4F4C-A5EA-48C4A480F49A}"/>
    <hyperlink ref="E59" r:id="rId58" tooltip="Salesforceレコードを開く" xr:uid="{8E291A65-AEF5-4BCE-A609-3D0936A63DAF}"/>
    <hyperlink ref="E60" r:id="rId59" tooltip="Salesforceレコードを開く" xr:uid="{EE609307-B295-483A-A8DC-BF00A469F0BB}"/>
    <hyperlink ref="E61" r:id="rId60" tooltip="Salesforceレコードを開く" xr:uid="{D324F284-CFCD-4264-AAC1-97080656C199}"/>
    <hyperlink ref="E62" r:id="rId61" tooltip="Salesforceレコードを開く" xr:uid="{20440D2B-89F4-4B0C-9106-1A65EC67376F}"/>
    <hyperlink ref="E63" r:id="rId62" tooltip="Salesforceレコードを開く" xr:uid="{4B147034-7F95-4632-A9A4-F694D9D3E30D}"/>
    <hyperlink ref="E85" r:id="rId63" tooltip="Salesforceレコードを開く" xr:uid="{6002564B-70C1-4076-A0CF-9607274A7A58}"/>
    <hyperlink ref="E65" r:id="rId64" tooltip="Salesforceレコードを開く" xr:uid="{15C2F32B-1B2E-4178-A2D3-3B8F96B22660}"/>
    <hyperlink ref="E66" r:id="rId65" tooltip="Salesforceレコードを開く" xr:uid="{4D30BF6B-243F-4ED4-98EE-AA6E687DA095}"/>
    <hyperlink ref="E151" r:id="rId66" tooltip="Salesforceレコードを開く" xr:uid="{72674B8F-428F-448B-8E45-2A1760481654}"/>
    <hyperlink ref="E68" r:id="rId67" tooltip="Salesforceレコードを開く" xr:uid="{CAF51C6C-5DD0-4F91-BA98-C516F0459305}"/>
    <hyperlink ref="E35" r:id="rId68" tooltip="Salesforceレコードを開く" xr:uid="{C2526E92-79E6-4CDA-9F1A-066FAE6487A7}"/>
    <hyperlink ref="E155" r:id="rId69" tooltip="Salesforceレコードを開く" xr:uid="{35C6BF07-28C3-42E2-8860-81FB3D136CCC}"/>
    <hyperlink ref="E71" r:id="rId70" tooltip="Salesforceレコードを開く" xr:uid="{20D198F0-7933-44D3-9CE6-F61CDB16BCFA}"/>
    <hyperlink ref="E159" r:id="rId71" tooltip="Salesforceレコードを開く" xr:uid="{6A484654-15BF-4F7D-9A5B-9A3DA4FD85C8}"/>
    <hyperlink ref="E73" r:id="rId72" tooltip="Salesforceレコードを開く" xr:uid="{4F8F46F1-F3ED-45F5-9644-26437B251A6D}"/>
    <hyperlink ref="E74" r:id="rId73" tooltip="Salesforceレコードを開く" xr:uid="{75F8F792-314C-42CE-9B29-1F3813AFFE99}"/>
    <hyperlink ref="E75" r:id="rId74" tooltip="Salesforceレコードを開く" xr:uid="{023D6BBB-5374-4C25-A3C7-9C50697F1BA5}"/>
    <hyperlink ref="E76" r:id="rId75" tooltip="Salesforceレコードを開く" xr:uid="{6A4A365C-9AD4-408E-BB38-25498481783F}"/>
    <hyperlink ref="E77" r:id="rId76" tooltip="Salesforceレコードを開く" xr:uid="{01A20FA5-2A38-414F-B455-51F294558551}"/>
    <hyperlink ref="E78" r:id="rId77" tooltip="Salesforceレコードを開く" xr:uid="{F0CC6D3F-64A9-4318-BED6-924B16FD76A2}"/>
    <hyperlink ref="E79" r:id="rId78" tooltip="Salesforceレコードを開く" xr:uid="{01D6D1AE-0D47-45DE-9193-27F89CD7CCEA}"/>
    <hyperlink ref="E80" r:id="rId79" tooltip="Salesforceレコードを開く" xr:uid="{649B76F0-6722-4C69-8F93-263E01FF58FF}"/>
    <hyperlink ref="E170" r:id="rId80" tooltip="Salesforceレコードを開く" xr:uid="{1E5A6433-D98F-42E9-99BD-DF7889C0D7A4}"/>
    <hyperlink ref="E82" r:id="rId81" tooltip="Salesforceレコードを開く" xr:uid="{0D3E3559-D5A0-4D1E-9420-3097F8E9034A}"/>
    <hyperlink ref="E83" r:id="rId82" tooltip="Salesforceレコードを開く" xr:uid="{28D2DDAC-7518-47CB-BF92-6ED647037D9B}"/>
    <hyperlink ref="E70" r:id="rId83" tooltip="Salesforceレコードを開く" xr:uid="{7884C005-F8D1-49DE-9337-727F60021A10}"/>
    <hyperlink ref="E67" r:id="rId84" tooltip="Salesforceレコードを開く" xr:uid="{3A1307FF-93AB-43A4-8F15-D2FF7A13D117}"/>
    <hyperlink ref="E86" r:id="rId85" tooltip="Salesforceレコードを開く" xr:uid="{88C243D3-ADF6-49C1-8B5C-FCDA1FD963D3}"/>
    <hyperlink ref="E87" r:id="rId86" tooltip="Salesforceレコードを開く" xr:uid="{37DF5D8D-2394-4A14-A4B7-8ED68382BC85}"/>
    <hyperlink ref="E5" r:id="rId87" tooltip="Salesforceレコードを開く" xr:uid="{093EF467-08CF-4F9E-AD76-42BF4F8320AC}"/>
    <hyperlink ref="E89" r:id="rId88" tooltip="Salesforceレコードを開く" xr:uid="{0FACB918-A38C-4FC4-8C28-543071F5554D}"/>
    <hyperlink ref="E90" r:id="rId89" tooltip="Salesforceレコードを開く" xr:uid="{085397F4-5B3E-41AD-A97C-67C1971EE411}"/>
    <hyperlink ref="E23" r:id="rId90" tooltip="Salesforceレコードを開く" xr:uid="{E885DB2A-876A-4777-BB2A-DD6300483B8C}"/>
    <hyperlink ref="E92" r:id="rId91" tooltip="Salesforceレコードを開く" xr:uid="{F7613A8B-1E05-47A7-9C41-4C6574FBCAC8}"/>
    <hyperlink ref="E93" r:id="rId92" tooltip="Salesforceレコードを開く" xr:uid="{CE5E0D23-8D42-4B5D-8B1C-F1D503A8C48F}"/>
    <hyperlink ref="E94" r:id="rId93" tooltip="Salesforceレコードを開く" xr:uid="{41B61169-2965-4D37-83EE-2CB56CC0CA48}"/>
    <hyperlink ref="E95" r:id="rId94" tooltip="Salesforceレコードを開く" xr:uid="{8DA9D426-4920-4F4F-B37A-7173557F7BC8}"/>
    <hyperlink ref="E96" r:id="rId95" tooltip="Salesforceレコードを開く" xr:uid="{36D54FEC-98E9-4819-83A7-6ACBAB05F34D}"/>
    <hyperlink ref="E97" r:id="rId96" tooltip="Salesforceレコードを開く" xr:uid="{511FC4D5-511A-465A-99DB-1858B54CD0EC}"/>
    <hyperlink ref="E98" r:id="rId97" tooltip="Salesforceレコードを開く" xr:uid="{CDF43432-85EB-443E-A47C-F77986977173}"/>
    <hyperlink ref="E99" r:id="rId98" tooltip="Salesforceレコードを開く" xr:uid="{F80FF644-733C-4EE2-91BB-27D52EF12222}"/>
    <hyperlink ref="E100" r:id="rId99" tooltip="Salesforceレコードを開く" xr:uid="{035CB831-F22E-4BC6-8E77-94E77C6D5F19}"/>
    <hyperlink ref="E101" r:id="rId100" tooltip="Salesforceレコードを開く" xr:uid="{9A40433A-6BB4-47D2-813C-1DBF0620C7A8}"/>
    <hyperlink ref="E102" r:id="rId101" tooltip="Salesforceレコードを開く" xr:uid="{48C73360-83A8-45C5-9FBC-8A6786C12B41}"/>
    <hyperlink ref="E103" r:id="rId102" tooltip="Salesforceレコードを開く" xr:uid="{A437B4F3-58F7-4988-BB7F-B3EBBB3B6AC2}"/>
    <hyperlink ref="E104" r:id="rId103" tooltip="Salesforceレコードを開く" xr:uid="{E69E00F1-75E2-4321-88EC-7C73868B2E05}"/>
    <hyperlink ref="E105" r:id="rId104" tooltip="Salesforceレコードを開く" xr:uid="{60E53163-C1AA-4EBD-8301-6F796A42213E}"/>
    <hyperlink ref="E44" r:id="rId105" tooltip="Salesforceレコードを開く" xr:uid="{DBEBBCF1-CA4E-4997-AED3-909AFA15C36A}"/>
    <hyperlink ref="E107" r:id="rId106" tooltip="Salesforceレコードを開く" xr:uid="{46CAD4A1-893D-431B-AD62-1C690E60001B}"/>
    <hyperlink ref="E108" r:id="rId107" tooltip="Salesforceレコードを開く" xr:uid="{96731A61-443C-4528-BA4B-08E29B896C11}"/>
    <hyperlink ref="E109" r:id="rId108" tooltip="Salesforceレコードを開く" xr:uid="{8B56D953-1468-4E40-81AE-E5D05697E5F6}"/>
    <hyperlink ref="E110" r:id="rId109" tooltip="Salesforceレコードを開く" xr:uid="{039855CB-2B7B-4EC7-AEF3-93490248CE8F}"/>
    <hyperlink ref="E111" r:id="rId110" tooltip="Salesforceレコードを開く" xr:uid="{7A9C4C4D-33EC-4580-B73E-F4971E73676F}"/>
    <hyperlink ref="E112" r:id="rId111" tooltip="Salesforceレコードを開く" xr:uid="{27ED9E94-A263-43E7-BD38-9B57F65EFC0F}"/>
    <hyperlink ref="E113" r:id="rId112" tooltip="Salesforceレコードを開く" xr:uid="{CA282147-EC45-4BEF-B3A5-98EB2463EA58}"/>
    <hyperlink ref="E114" r:id="rId113" tooltip="Salesforceレコードを開く" xr:uid="{22F8489F-C034-4206-9DEC-D3F52187C99B}"/>
    <hyperlink ref="E115" r:id="rId114" tooltip="Salesforceレコードを開く" xr:uid="{5F34C4AA-2665-44B8-B5DD-99F337045A10}"/>
    <hyperlink ref="E116" r:id="rId115" tooltip="Salesforceレコードを開く" xr:uid="{4ACAAB37-02C1-4E45-9AC3-7ABC5F20499A}"/>
    <hyperlink ref="E117" r:id="rId116" tooltip="Salesforceレコードを開く" xr:uid="{F150612E-6C04-40C6-A481-D15E280BB44C}"/>
    <hyperlink ref="E118" r:id="rId117" tooltip="Salesforceレコードを開く" xr:uid="{339BA6C0-2182-4E31-BCDF-FDE2B7FF09FC}"/>
    <hyperlink ref="E119" r:id="rId118" tooltip="Salesforceレコードを開く" xr:uid="{21245E4F-3C0E-49EF-9939-7E820999985D}"/>
    <hyperlink ref="E120" r:id="rId119" tooltip="Salesforceレコードを開く" xr:uid="{76AB9C31-8233-4EC0-9A58-9B806E7E42B6}"/>
    <hyperlink ref="E121" r:id="rId120" tooltip="Salesforceレコードを開く" xr:uid="{E3EEAF44-D07C-455E-80A5-B3ED45B1A2CB}"/>
    <hyperlink ref="E122" r:id="rId121" tooltip="Salesforceレコードを開く" xr:uid="{14458DBF-DDF2-4199-8A0E-2FFED3B76A40}"/>
    <hyperlink ref="E123" r:id="rId122" tooltip="Salesforceレコードを開く" xr:uid="{51D0B43A-539F-4CFD-BD50-C8558C0E394E}"/>
    <hyperlink ref="E124" r:id="rId123" tooltip="Salesforceレコードを開く" xr:uid="{06041986-E681-4070-85EB-C79A32D1D4C1}"/>
    <hyperlink ref="E125" r:id="rId124" tooltip="Salesforceレコードを開く" xr:uid="{C24E8EDA-DC2F-487C-AADD-4C14D61398CB}"/>
    <hyperlink ref="E126" r:id="rId125" tooltip="Salesforceレコードを開く" xr:uid="{BBADDC0D-CE79-43DF-ABF7-0B1A24F6181D}"/>
    <hyperlink ref="E127" r:id="rId126" tooltip="Salesforceレコードを開く" xr:uid="{FF0DFFC7-8C9C-45CC-9D7B-B9ECC369DA3F}"/>
    <hyperlink ref="E128" r:id="rId127" tooltip="Salesforceレコードを開く" xr:uid="{8EABE9A7-48DB-4B11-B9BF-763D0FFEA8E3}"/>
    <hyperlink ref="E8" r:id="rId128" tooltip="Salesforceレコードを開く" xr:uid="{CB4E975D-D9DF-4681-8A53-B336F1D0F4D6}"/>
    <hyperlink ref="E130" r:id="rId129" tooltip="Salesforceレコードを開く" xr:uid="{83187459-3FAC-4DC6-8D97-E96756CE2094}"/>
    <hyperlink ref="E131" r:id="rId130" tooltip="Salesforceレコードを開く" xr:uid="{EFC27FC9-EF43-4B56-8E1F-2D7B1D920B61}"/>
    <hyperlink ref="E132" r:id="rId131" tooltip="Salesforceレコードを開く" xr:uid="{B8036365-8D66-40BC-BD16-E243723ABB21}"/>
    <hyperlink ref="E9" r:id="rId132" tooltip="Salesforceレコードを開く" xr:uid="{D36BD344-CBDD-47B5-8616-5088A41D2E4A}"/>
    <hyperlink ref="E134" r:id="rId133" tooltip="Salesforceレコードを開く" xr:uid="{398F3E86-8F2B-4338-87DF-88C7E0AA0E97}"/>
    <hyperlink ref="E135" r:id="rId134" tooltip="Salesforceレコードを開く" xr:uid="{90FE3405-9F8F-4204-A642-3655045110D5}"/>
    <hyperlink ref="E30" r:id="rId135" tooltip="Salesforceレコードを開く" xr:uid="{634146F0-50D4-4373-8F09-297AA4939424}"/>
    <hyperlink ref="E137" r:id="rId136" tooltip="Salesforceレコードを開く" xr:uid="{79019B5B-8E5B-48E3-A65F-7D3E1778FA75}"/>
    <hyperlink ref="E138" r:id="rId137" tooltip="Salesforceレコードを開く" xr:uid="{B71AB78C-B73B-4083-9D30-41941FFB0AC5}"/>
    <hyperlink ref="E139" r:id="rId138" tooltip="Salesforceレコードを開く" xr:uid="{37808563-752B-4894-9C22-82B2ECB34B02}"/>
    <hyperlink ref="E140" r:id="rId139" tooltip="Salesforceレコードを開く" xr:uid="{A2FED172-9862-48E7-B344-281BCF30992D}"/>
    <hyperlink ref="E141" r:id="rId140" tooltip="Salesforceレコードを開く" xr:uid="{36C7307D-A799-4BDF-BDEB-9C02782233A7}"/>
    <hyperlink ref="E142" r:id="rId141" tooltip="Salesforceレコードを開く" xr:uid="{8272F55C-FF37-4476-BED9-6C5798E6B9FE}"/>
    <hyperlink ref="E11" r:id="rId142" tooltip="Salesforceレコードを開く" xr:uid="{3E1AC566-C36F-4A71-BD22-A6D730B6C486}"/>
    <hyperlink ref="E144" r:id="rId143" tooltip="Salesforceレコードを開く" xr:uid="{62797A7D-FF8C-48FC-AE27-D1D27F560A8D}"/>
    <hyperlink ref="E145" r:id="rId144" tooltip="Salesforceレコードを開く" xr:uid="{B4B2869F-A395-40B7-9573-E2BA78241BED}"/>
    <hyperlink ref="E146" r:id="rId145" tooltip="Salesforceレコードを開く" xr:uid="{2ED3FDDB-721F-48EC-B14F-5EBB63E8BB4A}"/>
    <hyperlink ref="E147" r:id="rId146" tooltip="Salesforceレコードを開く" xr:uid="{AD64013F-585A-4F1F-ACB1-743D7D7A3F1D}"/>
    <hyperlink ref="E148" r:id="rId147" tooltip="Salesforceレコードを開く" xr:uid="{6525AB9A-F5E7-4548-96C3-DF51625D0F0D}"/>
    <hyperlink ref="E149" r:id="rId148" tooltip="Salesforceレコードを開く" xr:uid="{0E8B2527-02CC-4134-8065-423433AF21E5}"/>
    <hyperlink ref="E150" r:id="rId149" tooltip="Salesforceレコードを開く" xr:uid="{DD03B8D1-07BC-4293-A978-40C5B6468233}"/>
    <hyperlink ref="E50" r:id="rId150" tooltip="Salesforceレコードを開く" xr:uid="{877C996A-6200-4883-98B1-CD096C786A35}"/>
    <hyperlink ref="E152" r:id="rId151" tooltip="Salesforceレコードを開く" xr:uid="{81950E67-C269-4368-B8F9-BFA0DCB5C4F4}"/>
    <hyperlink ref="E153" r:id="rId152" tooltip="Salesforceレコードを開く" xr:uid="{48045D16-6F34-44DE-97A8-E3F0AF2DDA9D}"/>
    <hyperlink ref="E154" r:id="rId153" tooltip="Salesforceレコードを開く" xr:uid="{8A8D361C-3FA0-4332-9ED9-15E7C2ED2427}"/>
    <hyperlink ref="E32" r:id="rId154" tooltip="Salesforceレコードを開く" xr:uid="{DF3AA1CE-861E-4A75-9B71-A9CC4FD47DAB}"/>
    <hyperlink ref="E156" r:id="rId155" tooltip="Salesforceレコードを開く" xr:uid="{53DBBD98-0354-4BAB-A1B2-2100F3C49D13}"/>
    <hyperlink ref="E157" r:id="rId156" tooltip="Salesforceレコードを開く" xr:uid="{CED76C78-9D4E-4FBA-98FD-0A50ABA71EAC}"/>
    <hyperlink ref="E158" r:id="rId157" tooltip="Salesforceレコードを開く" xr:uid="{58A721A8-CCE1-4A7D-80B5-19D6AB3F29BF}"/>
    <hyperlink ref="E64" r:id="rId158" tooltip="Salesforceレコードを開く" xr:uid="{8F9D9195-8304-4417-BD69-5F631C576FC2}"/>
    <hyperlink ref="E160" r:id="rId159" tooltip="Salesforceレコードを開く" xr:uid="{7F3068C2-7693-4D69-9421-78278233E9EB}"/>
    <hyperlink ref="E161" r:id="rId160" tooltip="Salesforceレコードを開く" xr:uid="{849AB2D1-D51E-4944-A70F-53DB23404298}"/>
    <hyperlink ref="E162" r:id="rId161" tooltip="Salesforceレコードを開く" xr:uid="{816DF829-31D7-4569-ACD8-82429B969209}"/>
    <hyperlink ref="E84" r:id="rId162" tooltip="Salesforceレコードを開く" xr:uid="{BFA22E1C-CB4B-4E60-B3B2-51CC4D3280F5}"/>
    <hyperlink ref="E164" r:id="rId163" tooltip="Salesforceレコードを開く" xr:uid="{A2C61732-8FAF-4F78-B907-23946A62B550}"/>
    <hyperlink ref="E88" r:id="rId164" tooltip="Salesforceレコードを開く" xr:uid="{9650FEDC-FAB0-4242-B9B2-BDABC345643D}"/>
    <hyperlink ref="E163" r:id="rId165" tooltip="Salesforceレコードを開く" xr:uid="{C8AD64FA-6307-43AA-A77C-BEA559AF7D45}"/>
    <hyperlink ref="E167" r:id="rId166" tooltip="Salesforceレコードを開く" xr:uid="{08800A6B-113B-4365-9F7D-0098891A42EE}"/>
    <hyperlink ref="E48" r:id="rId167" tooltip="Salesforceレコードを開く" xr:uid="{9E72B9CD-874A-4B2B-9202-A7860D1A8906}"/>
    <hyperlink ref="E165" r:id="rId168" tooltip="Salesforceレコードを開く" xr:uid="{8939E0CE-D4A9-4C54-8D6A-3E78432A3820}"/>
    <hyperlink ref="E166" r:id="rId169" tooltip="Salesforceレコードを開く" xr:uid="{78CE7E67-825D-4103-821F-A163B90CBCAE}"/>
    <hyperlink ref="E171" r:id="rId170" tooltip="Salesforceレコードを開く" xr:uid="{B24F35FC-11D5-49CB-ABF6-0D58E3444822}"/>
    <hyperlink ref="E172" r:id="rId171" tooltip="Salesforceレコードを開く" xr:uid="{7A40C310-A206-4D02-89E4-BE2C64C19BA8}"/>
    <hyperlink ref="E173" r:id="rId172" tooltip="Salesforceレコードを開く" xr:uid="{47E39448-6436-4F6D-94FB-87D50575D113}"/>
    <hyperlink ref="E174" r:id="rId173" tooltip="Salesforceレコードを開く" xr:uid="{F2FC231F-334E-491F-BE43-634256BEF227}"/>
    <hyperlink ref="E175" r:id="rId174" tooltip="Salesforceレコードを開く" xr:uid="{35E81398-1FF0-40F5-8AFD-E563B6C87FDD}"/>
    <hyperlink ref="E176" r:id="rId175" tooltip="Salesforceレコードを開く" xr:uid="{9A26DF44-E439-41F7-972A-6694240431FB}"/>
    <hyperlink ref="E177" r:id="rId176" tooltip="Salesforceレコードを開く" xr:uid="{E8C8C027-8593-4CEA-8235-16A0036446E0}"/>
    <hyperlink ref="E178" r:id="rId177" tooltip="Salesforceレコードを開く" xr:uid="{4A441C6E-DAF9-417E-8CBB-71B402B313F1}"/>
    <hyperlink ref="E179" r:id="rId178" tooltip="Salesforceレコードを開く" xr:uid="{B0EF9AD3-F1B2-4CE0-9D4F-914EA37B53A0}"/>
    <hyperlink ref="E180" r:id="rId179" tooltip="Salesforceレコードを開く" xr:uid="{7BC14BDE-2FD1-4960-9AF3-D8A326694154}"/>
    <hyperlink ref="E181" r:id="rId180" tooltip="Salesforceレコードを開く" xr:uid="{8D013FD5-FBE5-48A3-87ED-271586E9D037}"/>
  </hyperlinks>
  <pageMargins left="0.7" right="0.7" top="0.75" bottom="0.75" header="0.3" footer="0.3"/>
  <tableParts count="1">
    <tablePart r:id="rId18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869-E3BA-4D78-B130-CDBCA5B6972E}">
  <dimension ref="A1:H15"/>
  <sheetViews>
    <sheetView showGridLines="0" zoomScale="95" zoomScaleNormal="95" workbookViewId="0">
      <selection sqref="A1:H1"/>
    </sheetView>
  </sheetViews>
  <sheetFormatPr defaultRowHeight="16.5"/>
  <cols>
    <col min="1" max="1" width="30.625" style="1" customWidth="1"/>
    <col min="2" max="2" width="12.625" style="1" customWidth="1"/>
    <col min="3" max="3" width="3.625" style="1" customWidth="1"/>
    <col min="4" max="4" width="16.625" style="1" customWidth="1"/>
    <col min="5" max="5" width="12.625" style="1" customWidth="1"/>
    <col min="6" max="6" width="30.625" style="1" customWidth="1"/>
    <col min="7" max="7" width="16.625" style="1" customWidth="1"/>
    <col min="8" max="8" width="14.625" style="1" customWidth="1"/>
    <col min="9" max="16384" width="9" style="1"/>
  </cols>
  <sheetData>
    <row r="1" spans="1:8" ht="33.950000000000003" customHeight="1">
      <c r="A1" s="23" t="s">
        <v>0</v>
      </c>
      <c r="B1" s="23"/>
      <c r="C1" s="23"/>
      <c r="D1" s="23"/>
      <c r="E1" s="23"/>
      <c r="F1" s="23"/>
      <c r="G1" s="23"/>
      <c r="H1" s="23"/>
    </row>
    <row r="2" spans="1:8">
      <c r="A2" s="24" t="s">
        <v>1</v>
      </c>
      <c r="B2" s="24"/>
      <c r="C2" s="24"/>
      <c r="D2" s="24"/>
      <c r="E2" s="24"/>
      <c r="F2" s="24"/>
      <c r="G2" s="24"/>
      <c r="H2" s="24"/>
    </row>
    <row r="3" spans="1:8">
      <c r="A3" s="2" t="s">
        <v>2</v>
      </c>
      <c r="B3" s="2">
        <f>COUNTA(レコード別確認!D2:D181)</f>
        <v>180</v>
      </c>
      <c r="C3" s="2"/>
      <c r="D3" s="2" t="s">
        <v>3</v>
      </c>
      <c r="E3" s="2">
        <f>COUNTIF(レコード別確認!Q2:Q181,"未確認")</f>
        <v>180</v>
      </c>
      <c r="F3" s="2"/>
      <c r="G3" s="2" t="s">
        <v>4</v>
      </c>
      <c r="H3" s="3">
        <f>(COUNTIF(レコード別確認!Q2:Q181,"対応済み")+COUNTIF(レコード別確認!Q2:Q181,"対象外"))/B3</f>
        <v>0</v>
      </c>
    </row>
    <row r="4" spans="1:8">
      <c r="A4" s="4"/>
      <c r="B4" s="4"/>
      <c r="C4" s="4"/>
      <c r="D4" s="4"/>
      <c r="E4" s="4"/>
      <c r="F4" s="4"/>
      <c r="G4" s="4"/>
      <c r="H4" s="4"/>
    </row>
    <row r="5" spans="1:8">
      <c r="A5" s="5" t="s">
        <v>5</v>
      </c>
      <c r="B5" s="5" t="s">
        <v>6</v>
      </c>
      <c r="C5" s="4"/>
      <c r="D5" s="5" t="s">
        <v>15</v>
      </c>
      <c r="E5" s="5" t="s">
        <v>6</v>
      </c>
      <c r="F5" s="5" t="s">
        <v>16</v>
      </c>
      <c r="G5" s="4"/>
      <c r="H5" s="4"/>
    </row>
    <row r="6" spans="1:8">
      <c r="A6" s="4" t="s">
        <v>7</v>
      </c>
      <c r="B6" s="4">
        <f>COUNTIF(レコード別確認!C2:C181,A6)</f>
        <v>81</v>
      </c>
      <c r="C6" s="4"/>
      <c r="D6" s="4" t="s">
        <v>17</v>
      </c>
      <c r="E6" s="4">
        <f>COUNTIF(レコード別確認!Q2:Q181,D6)</f>
        <v>180</v>
      </c>
      <c r="F6" s="4" t="s">
        <v>18</v>
      </c>
      <c r="G6" s="4"/>
      <c r="H6" s="4"/>
    </row>
    <row r="7" spans="1:8">
      <c r="A7" s="4" t="s">
        <v>8</v>
      </c>
      <c r="B7" s="4">
        <f>COUNTIF(レコード別確認!C2:C181,A7)</f>
        <v>39</v>
      </c>
      <c r="C7" s="4"/>
      <c r="D7" s="4" t="s">
        <v>19</v>
      </c>
      <c r="E7" s="4">
        <f>COUNTIF(レコード別確認!Q2:Q181,D7)</f>
        <v>0</v>
      </c>
      <c r="F7" s="4" t="s">
        <v>20</v>
      </c>
      <c r="G7" s="4"/>
      <c r="H7" s="4"/>
    </row>
    <row r="8" spans="1:8">
      <c r="A8" s="4" t="s">
        <v>9</v>
      </c>
      <c r="B8" s="4">
        <f>COUNTIF(レコード別確認!C2:C181,A8)</f>
        <v>36</v>
      </c>
      <c r="C8" s="4"/>
      <c r="D8" s="4" t="s">
        <v>21</v>
      </c>
      <c r="E8" s="4">
        <f>COUNTIF(レコード別確認!Q2:Q181,D8)</f>
        <v>0</v>
      </c>
      <c r="F8" s="4" t="s">
        <v>22</v>
      </c>
      <c r="G8" s="4"/>
      <c r="H8" s="4"/>
    </row>
    <row r="9" spans="1:8">
      <c r="A9" s="4" t="s">
        <v>10</v>
      </c>
      <c r="B9" s="4">
        <f>COUNTIF(レコード別確認!C2:C181,A9)</f>
        <v>11</v>
      </c>
      <c r="C9" s="4"/>
      <c r="D9" s="4" t="s">
        <v>23</v>
      </c>
      <c r="E9" s="4">
        <f>COUNTIF(レコード別確認!Q2:Q181,D9)</f>
        <v>0</v>
      </c>
      <c r="F9" s="4" t="s">
        <v>24</v>
      </c>
      <c r="G9" s="4"/>
      <c r="H9" s="4"/>
    </row>
    <row r="10" spans="1:8">
      <c r="A10" s="4" t="s">
        <v>11</v>
      </c>
      <c r="B10" s="4">
        <f>COUNTIF(レコード別確認!C2:C181,A10)</f>
        <v>12</v>
      </c>
      <c r="C10" s="4"/>
      <c r="D10" s="4" t="s">
        <v>25</v>
      </c>
      <c r="E10" s="4">
        <f>COUNTIF(レコード別確認!Q2:Q181,D10)</f>
        <v>0</v>
      </c>
      <c r="F10" s="4" t="s">
        <v>26</v>
      </c>
      <c r="G10" s="4"/>
      <c r="H10" s="4"/>
    </row>
    <row r="11" spans="1:8">
      <c r="A11" s="4" t="s">
        <v>12</v>
      </c>
      <c r="B11" s="4">
        <f>COUNTIF(レコード別確認!C2:C181,A11)</f>
        <v>1</v>
      </c>
      <c r="C11" s="4"/>
      <c r="D11" s="4"/>
      <c r="E11" s="4"/>
      <c r="F11" s="4"/>
      <c r="G11" s="4"/>
      <c r="H11" s="4"/>
    </row>
    <row r="12" spans="1:8">
      <c r="A12" s="4" t="s">
        <v>13</v>
      </c>
      <c r="B12" s="4">
        <f>COUNTIF(レコード別確認!C2:C181,A12)</f>
        <v>0</v>
      </c>
      <c r="C12" s="4"/>
      <c r="D12" s="4"/>
      <c r="E12" s="4"/>
      <c r="F12" s="4"/>
      <c r="G12" s="4"/>
      <c r="H12" s="4"/>
    </row>
    <row r="13" spans="1:8">
      <c r="A13" s="4" t="s">
        <v>14</v>
      </c>
      <c r="B13" s="4">
        <f>COUNTIF(レコード別確認!C2:C181,A13)</f>
        <v>0</v>
      </c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 ht="36" customHeight="1">
      <c r="A15" s="25" t="s">
        <v>27</v>
      </c>
      <c r="B15" s="25"/>
      <c r="C15" s="25"/>
      <c r="D15" s="25"/>
      <c r="E15" s="25"/>
      <c r="F15" s="25"/>
      <c r="G15" s="25"/>
      <c r="H15" s="25"/>
    </row>
  </sheetData>
  <mergeCells count="3">
    <mergeCell ref="A1:H1"/>
    <mergeCell ref="A2:H2"/>
    <mergeCell ref="A15:H15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対応履歴</vt:lpstr>
      <vt:lpstr>共通質問</vt:lpstr>
      <vt:lpstr>レコード別確認</vt:lpstr>
      <vt:lpstr>サマリー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Kawanami(川波 嵩)</dc:creator>
  <cp:lastModifiedBy>Shu Kawanami(川波 嵩)</cp:lastModifiedBy>
  <dcterms:created xsi:type="dcterms:W3CDTF">2026-07-24T02:49:42Z</dcterms:created>
  <dcterms:modified xsi:type="dcterms:W3CDTF">2026-07-24T04:52:44Z</dcterms:modified>
</cp:coreProperties>
</file>