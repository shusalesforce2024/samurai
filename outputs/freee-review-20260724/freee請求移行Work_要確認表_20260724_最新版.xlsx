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rbato-my.sharepoint.com/personal/shu_kawanami_z616_dirbato_co_jp/Documents/ドキュメント/Samurai/samurai/outputs/freee-review-20260724/"/>
    </mc:Choice>
  </mc:AlternateContent>
  <xr:revisionPtr revIDLastSave="0" documentId="8_{E28A5255-0C8C-44E2-9571-FB90949693CD}" xr6:coauthVersionLast="47" xr6:coauthVersionMax="47" xr10:uidLastSave="{00000000-0000-0000-0000-000000000000}"/>
  <bookViews>
    <workbookView xWindow="1560" yWindow="1560" windowWidth="21600" windowHeight="12645" activeTab="3" xr2:uid="{7E6F0ABF-34E9-4B36-BF84-EFA37F670294}"/>
  </bookViews>
  <sheets>
    <sheet name="対応履歴" sheetId="4" r:id="rId1"/>
    <sheet name="共通質問" sheetId="3" r:id="rId2"/>
    <sheet name="レコード別確認" sheetId="2" r:id="rId3"/>
    <sheet name="サマリー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1" l="1"/>
  <c r="E9" i="1"/>
  <c r="E8" i="1"/>
  <c r="E7" i="1"/>
  <c r="E6" i="1"/>
  <c r="B14" i="1"/>
  <c r="B13" i="1"/>
  <c r="B12" i="1"/>
  <c r="B11" i="1"/>
  <c r="B10" i="1"/>
  <c r="B9" i="1"/>
  <c r="B8" i="1"/>
  <c r="B7" i="1"/>
  <c r="B6" i="1"/>
  <c r="E3" i="1"/>
  <c r="B3" i="1"/>
  <c r="H3" i="1" s="1"/>
</calcChain>
</file>

<file path=xl/sharedStrings.xml><?xml version="1.0" encoding="utf-8"?>
<sst xmlns="http://schemas.openxmlformats.org/spreadsheetml/2006/main" count="841" uniqueCount="366">
  <si>
    <t>Freee請求移行Work 要確認表</t>
  </si>
  <si>
    <t>prod / 2026-07-24 本反映・追加解消後　経理確認・対応管理用</t>
  </si>
  <si>
    <t>対象件数</t>
  </si>
  <si>
    <t>未確認件数</t>
  </si>
  <si>
    <t>対応完了率</t>
  </si>
  <si>
    <t>主原因</t>
  </si>
  <si>
    <t>件数</t>
  </si>
  <si>
    <t>契約・契約期間未確定</t>
  </si>
  <si>
    <t>商品未確定</t>
  </si>
  <si>
    <t>契約・商品未確定</t>
  </si>
  <si>
    <t>商品名の類似性不足</t>
  </si>
  <si>
    <t>既存請求明細との照合不一致</t>
  </si>
  <si>
    <t>金額不一致</t>
  </si>
  <si>
    <t>契約・商品・金額不一致</t>
  </si>
  <si>
    <t>商品・金額不一致</t>
  </si>
  <si>
    <t>その他</t>
  </si>
  <si>
    <t>対応状況</t>
  </si>
  <si>
    <t>説明</t>
  </si>
  <si>
    <t>未確認</t>
  </si>
  <si>
    <t>経理による確認前</t>
  </si>
  <si>
    <t>確認中</t>
  </si>
  <si>
    <t>内容を確認中</t>
  </si>
  <si>
    <t>対応待ち</t>
  </si>
  <si>
    <t>マスタ・契約等の設定待ち</t>
  </si>
  <si>
    <t>対応済み</t>
  </si>
  <si>
    <t>再検証・本反映まで完了</t>
  </si>
  <si>
    <t>対象外</t>
  </si>
  <si>
    <t>対応不要と判断</t>
  </si>
  <si>
    <t>最新化結果: 反映可能98件のうち77件を本反映後、追加照合で19件を解消。合計96件が反映済みとなり、追加要確認は2件。現在の要確認61件を掲載。</t>
  </si>
  <si>
    <t>No</t>
  </si>
  <si>
    <t>優先度</t>
  </si>
  <si>
    <t>Work名</t>
  </si>
  <si>
    <t>Salesforce URL</t>
  </si>
  <si>
    <t>Freee請求書ID</t>
  </si>
  <si>
    <t>取引先</t>
  </si>
  <si>
    <t>請求日</t>
  </si>
  <si>
    <t>請求金額</t>
  </si>
  <si>
    <t>契約管理</t>
  </si>
  <si>
    <t>契約期間</t>
  </si>
  <si>
    <t>作成済み請求</t>
  </si>
  <si>
    <t>確認コード</t>
  </si>
  <si>
    <t>個別確認対象</t>
  </si>
  <si>
    <t>自動反映可否</t>
  </si>
  <si>
    <t>主担当</t>
  </si>
  <si>
    <t>確認結果</t>
  </si>
  <si>
    <t>対応者</t>
  </si>
  <si>
    <t>確認日</t>
  </si>
  <si>
    <t>備考</t>
  </si>
  <si>
    <t>高</t>
  </si>
  <si>
    <t>MFIW-000044</t>
  </si>
  <si>
    <t>https://samuraiarchitects.lightning.force.com/lightning/r/Mig_FreeeInvoiceWork__c/a0FRB00000UtK9v2AF/view</t>
  </si>
  <si>
    <t>戸田建設株式会社</t>
  </si>
  <si>
    <t>CN-00000026</t>
  </si>
  <si>
    <t>CP-00000024</t>
  </si>
  <si>
    <t>INV-0000000033</t>
  </si>
  <si>
    <t>P03</t>
  </si>
  <si>
    <t>商品誤紐づけ確認: 「VISIOAL＿ベーシックプラン」 -&gt; 「[月払] knock knock AI Enterpriseプラン 500クレジット」 || 商品誤紐づけ確認: 「既存写真との整合（敷地）」 -&gt; 「Rendery セキュリティオプション(SSO)_運用費用」 || 商品誤紐づけ確認: 「詳細整合（インテリア）」 -&gt; 「Rendery セキュリティオプション(IP制限)_運用費用」 || 商品誤紐づけ確認: 「確認タイミング追加」 -&gt; 「Rendery セキュリティオプション(SSO)_運用費用」 || 商品誤紐づけ確認: 「追加修正」 -&gt; 「Rendery セキュリティオプション(SSO)_運用費用」</t>
  </si>
  <si>
    <t>不可（個別確認が必要）</t>
  </si>
  <si>
    <t>経理</t>
  </si>
  <si>
    <t>未入力</t>
  </si>
  <si>
    <t>中</t>
  </si>
  <si>
    <t>MFIW-000275</t>
  </si>
  <si>
    <t>https://samuraiarchitects.lightning.force.com/lightning/r/Mig_FreeeInvoiceWork__c/a0FRB00000Wj59H2AR/view</t>
  </si>
  <si>
    <t>株式会社ヨコハマ地所</t>
  </si>
  <si>
    <t>C01,P01</t>
  </si>
  <si>
    <t>請求区分と契約先: 株式会社ヨコハマ地所 / 請求日: 2026-03-20 || 商品候補確認: 「knock knock AI_Basicプラン」 -&gt; 「knock knock AI Basicプラン(50クレジット)」</t>
  </si>
  <si>
    <t>契約ルール登録後に可</t>
  </si>
  <si>
    <t>MFIW-000277</t>
  </si>
  <si>
    <t>https://samuraiarchitects.lightning.force.com/lightning/r/Mig_FreeeInvoiceWork__c/a0FRB00000Wj59J2AR/view</t>
  </si>
  <si>
    <t>リアルティホールディングス株式会社</t>
  </si>
  <si>
    <t>CN-00000127</t>
  </si>
  <si>
    <t>CP-00000126</t>
  </si>
  <si>
    <t>P02</t>
  </si>
  <si>
    <t>商品選択: 「knock knock AI_Enterpriseプラン_1100クレジット」</t>
  </si>
  <si>
    <t>商品確定後に可</t>
  </si>
  <si>
    <t>MFIW-000280</t>
  </si>
  <si>
    <t>https://samuraiarchitects.lightning.force.com/lightning/r/Mig_FreeeInvoiceWork__c/a0FRB00000Wj59M2AR/view</t>
  </si>
  <si>
    <t>アグレ都市デザイン株式会社</t>
  </si>
  <si>
    <t>請求区分と契約先: アグレ都市デザイン株式会社 / 請求日: 2026-03-20 || 商品候補確認: 「knock knock AI_Basicプラン」 -&gt; 「knock knock AI Basicプラン(50クレジット)」</t>
  </si>
  <si>
    <t>MFIW-000292</t>
  </si>
  <si>
    <t>https://samuraiarchitects.lightning.force.com/lightning/r/Mig_FreeeInvoiceWork__c/a0FRB00000Wio6l2AB/view</t>
  </si>
  <si>
    <t>株式会社トーケン</t>
  </si>
  <si>
    <t>C01,P02</t>
  </si>
  <si>
    <t>請求区分と契約先: 株式会社トーケン / 請求日: 2026-03-20 || 商品選択: 「Rendery_Pro_10アカウント_年間一括払い」</t>
  </si>
  <si>
    <t>MFIW-000357</t>
  </si>
  <si>
    <t>https://samuraiarchitects.lightning.force.com/lightning/r/Mig_FreeeInvoiceWork__c/a0FRB00000WjhrF2AR/view</t>
  </si>
  <si>
    <t>東急リゾーツ＆ステイ株式会社</t>
  </si>
  <si>
    <t>請求区分と契約先: 東急リゾーツ＆ステイ株式会社 / 請求日: 2026-03-20 || 商品候補確認: 「Rendery　エンタープライズプラン」 -&gt; 「[OLD] Rendery Enterpriseプラン(2025年9月まで)」</t>
  </si>
  <si>
    <t>MFIW-000359</t>
  </si>
  <si>
    <t>https://samuraiarchitects.lightning.force.com/lightning/r/Mig_FreeeInvoiceWork__c/a0FRB00000WjhrH2AR/view</t>
  </si>
  <si>
    <t>株式会社前田工務店</t>
  </si>
  <si>
    <t>CN-00000009</t>
  </si>
  <si>
    <t>CP-00000007</t>
  </si>
  <si>
    <t>P01</t>
  </si>
  <si>
    <t>商品候補確認: 「Rendery(エンタープライズプラン：1ヶ月)」 -&gt; 「[OLD] Rendery Enterpriseプラン(2025年9月まで)」</t>
  </si>
  <si>
    <t>条件付き可（候補商品が一意であることを確認）</t>
  </si>
  <si>
    <t>MFIW-000368</t>
  </si>
  <si>
    <t>https://samuraiarchitects.lightning.force.com/lightning/r/Mig_FreeeInvoiceWork__c/a0FRB00000WjhzK2AR/view</t>
  </si>
  <si>
    <t>株式会社アークフロンティア　テラスエステート</t>
  </si>
  <si>
    <t>請求区分と契約先: 株式会社アークフロンティア　テラスエステート / 請求日: 2026-03-20 || 商品選択: 「knock knock AI_Enterpriseプラン(月額)」</t>
  </si>
  <si>
    <t>MFIW-000295</t>
  </si>
  <si>
    <t>https://samuraiarchitects.lightning.force.com/lightning/r/Mig_FreeeInvoiceWork__c/a0FRB00000Wjfvr2AB/view</t>
  </si>
  <si>
    <t>請求区分と契約先: 株式会社ヨコハマ地所 / 請求日: 2026-04-20 || 商品候補確認: 「knock knock AI_Basicプラン」 -&gt; 「knock knock AI Basicプラン(50クレジット)」</t>
  </si>
  <si>
    <t>MFIW-000296</t>
  </si>
  <si>
    <t>https://samuraiarchitects.lightning.force.com/lightning/r/Mig_FreeeInvoiceWork__c/a0FRB00000Wjfvs2AB/view</t>
  </si>
  <si>
    <t>商品選択: 「knock knock AI_Enterpriseプラン_1200クレジット」</t>
  </si>
  <si>
    <t>MFIW-000299</t>
  </si>
  <si>
    <t>https://samuraiarchitects.lightning.force.com/lightning/r/Mig_FreeeInvoiceWork__c/a0FRB00000Wjfvv2AB/view</t>
  </si>
  <si>
    <t>請求区分と契約先: アグレ都市デザイン株式会社 / 請求日: 2026-04-20 || 商品候補確認: 「knock knock AI_Basicプラン」 -&gt; 「knock knock AI Basicプラン(50クレジット)」</t>
  </si>
  <si>
    <t>MFIW-000314</t>
  </si>
  <si>
    <t>https://samuraiarchitects.lightning.force.com/lightning/r/Mig_FreeeInvoiceWork__c/a0FRB00000Wj5UB2AZ/view</t>
  </si>
  <si>
    <t>請求区分と契約先: 東急リゾーツ＆ステイ株式会社 / 請求日: 2026-04-20 || 商品候補確認: 「Rendery　エンタープライズプラン」 -&gt; 「[OLD] Rendery Enterpriseプラン(2025年9月まで)」</t>
  </si>
  <si>
    <t>MFIW-000325</t>
  </si>
  <si>
    <t>https://samuraiarchitects.lightning.force.com/lightning/r/Mig_FreeeInvoiceWork__c/a0FRB00000Wj5UM2AZ/view</t>
  </si>
  <si>
    <t>福井コンピュータアーキテクト</t>
  </si>
  <si>
    <t>請求区分と契約先: 福井コンピュータアーキテクト / 請求日: 2026-04-20 || 商品選択: 「着手金として」</t>
  </si>
  <si>
    <t>MFIW-000327</t>
  </si>
  <si>
    <t>https://samuraiarchitects.lightning.force.com/lightning/r/Mig_FreeeInvoiceWork__c/a0FRB00000Wj5UO2AZ/view</t>
  </si>
  <si>
    <t>東急建設株式会社</t>
  </si>
  <si>
    <t>CN-00000007</t>
  </si>
  <si>
    <t>CP-00000005</t>
  </si>
  <si>
    <t>商品選択: 「Rendery_Pro(2026年4月- 2027年3月)」</t>
  </si>
  <si>
    <t>MFIW-000329</t>
  </si>
  <si>
    <t>https://samuraiarchitects.lightning.force.com/lightning/r/Mig_FreeeInvoiceWork__c/a0FRB00000Wj5UQ2AZ/view</t>
  </si>
  <si>
    <t>株式会社大塚商会</t>
  </si>
  <si>
    <t>CN-00000063</t>
  </si>
  <si>
    <t>CP-00000061</t>
  </si>
  <si>
    <t>商品候補確認: 「Rendery_Pro_月額利用料_注文番号：405016881」 -&gt; 「[代理販売20%] Rendery Proプラン」</t>
  </si>
  <si>
    <t>MFIW-000330</t>
  </si>
  <si>
    <t>https://samuraiarchitects.lightning.force.com/lightning/r/Mig_FreeeInvoiceWork__c/a0FRB00000Wj5UR2AZ/view</t>
  </si>
  <si>
    <t>商品候補確認: 「Rendery_Pro_４月利用料(株式会社長谷建築設計事務所様)」 -&gt; 「[代理販売20%] Rendery Proプラン」</t>
  </si>
  <si>
    <t>MFIW-000334</t>
  </si>
  <si>
    <t>https://samuraiarchitects.lightning.force.com/lightning/r/Mig_FreeeInvoiceWork__c/a0FRB00000WjFOi2AN/view</t>
  </si>
  <si>
    <t>株式会社石勝エクステリア</t>
  </si>
  <si>
    <t>請求区分と契約先: 株式会社石勝エクステリア / 請求日: 2026-04-20 || 商品選択: 「年払い割引」 || 商品選択: 「セキュリティオプション_シングルサインオン_運用費用_年払い」</t>
  </si>
  <si>
    <t>MFIW-000342</t>
  </si>
  <si>
    <t>https://samuraiarchitects.lightning.force.com/lightning/r/Mig_FreeeInvoiceWork__c/a0FRB00000WjFOq2AN/view</t>
  </si>
  <si>
    <t>近鉄不動産株式会社</t>
  </si>
  <si>
    <t>C01,P01,P02</t>
  </si>
  <si>
    <t>請求区分と契約先: 近鉄不動産株式会社 / 請求日: 2026-04-20 || 商品候補確認: 「[月額費用]Rendery Enterpriseプラン_11アカウント」 -&gt; 「Rendery Enterpriseプラン」 || 商品選択: 「[月額費用]セキュリティオプション+_運用費用」 || 商品選択: 「[初月のみ]セキュリティオプション+_初期コスト」</t>
  </si>
  <si>
    <t>MFIW-000346</t>
  </si>
  <si>
    <t>https://samuraiarchitects.lightning.force.com/lightning/r/Mig_FreeeInvoiceWork__c/a0FRB00000WjFOu2AN/view</t>
  </si>
  <si>
    <t>株式会社フジタ</t>
  </si>
  <si>
    <t>請求区分と契約先: 株式会社フジタ / 請求日: 2026-04-20 || 商品選択: 「年払い割引」</t>
  </si>
  <si>
    <t>MFIW-000349</t>
  </si>
  <si>
    <t>https://samuraiarchitects.lightning.force.com/lightning/r/Mig_FreeeInvoiceWork__c/a0FRB00000WjFOx2AN/view</t>
  </si>
  <si>
    <t>MFIW-000350</t>
  </si>
  <si>
    <t>https://samuraiarchitects.lightning.force.com/lightning/r/Mig_FreeeInvoiceWork__c/a0FRB00000WjFOy2AN/view</t>
  </si>
  <si>
    <t>MFIW-000229</t>
  </si>
  <si>
    <t>https://samuraiarchitects.lightning.force.com/lightning/r/Mig_FreeeInvoiceWork__c/a0FRB00000WjSKT2A3/view</t>
  </si>
  <si>
    <t>請求区分と契約先: 株式会社ヨコハマ地所 / 請求日: 2026-05-20 || 商品候補確認: 「knock knock AI_Basicプラン」 -&gt; 「knock knock AI Basicプラン(50クレジット)」</t>
  </si>
  <si>
    <t>MFIW-000230</t>
  </si>
  <si>
    <t>https://samuraiarchitects.lightning.force.com/lightning/r/Mig_FreeeInvoiceWork__c/a0FRB00000WjSKU2A3/view</t>
  </si>
  <si>
    <t>MFIW-000233</t>
  </si>
  <si>
    <t>https://samuraiarchitects.lightning.force.com/lightning/r/Mig_FreeeInvoiceWork__c/a0FRB00000WjSKX2A3/view</t>
  </si>
  <si>
    <t>請求区分と契約先: アグレ都市デザイン株式会社 / 請求日: 2026-05-20 || 商品候補確認: 「knock knock AI_Basicプラン」 -&gt; 「knock knock AI Basicプラン(50クレジット)」</t>
  </si>
  <si>
    <t>MFIW-000248</t>
  </si>
  <si>
    <t>https://samuraiarchitects.lightning.force.com/lightning/r/Mig_FreeeInvoiceWork__c/a0FRB00000WjTBg2AN/view</t>
  </si>
  <si>
    <t>請求区分と契約先: 東急リゾーツ＆ステイ株式会社 / 請求日: 2026-05-20 || 商品候補確認: 「Rendery　エンタープライズプラン」 -&gt; 「[OLD] Rendery Enterpriseプラン(2025年9月まで)」</t>
  </si>
  <si>
    <t>MFIW-000259</t>
  </si>
  <si>
    <t>https://samuraiarchitects.lightning.force.com/lightning/r/Mig_FreeeInvoiceWork__c/a0FRB00000WjTmd2AF/view</t>
  </si>
  <si>
    <t>商品候補確認: 「Rendery_Pro_月額利用料(ジェイアール北海道エンジニアリング株式会社分)」 -&gt; 「[代理販売20%] Rendery Proプラン」</t>
  </si>
  <si>
    <t>MFIW-000260</t>
  </si>
  <si>
    <t>https://samuraiarchitects.lightning.force.com/lightning/r/Mig_FreeeInvoiceWork__c/a0FRB00000WjTme2AF/view</t>
  </si>
  <si>
    <t>商品候補確認: 「Rendery_Pro_月額利用料_注文番号：405342479」 -&gt; 「[代理販売20%] Rendery Proプラン」</t>
  </si>
  <si>
    <t>MFIW-000264</t>
  </si>
  <si>
    <t>https://samuraiarchitects.lightning.force.com/lightning/r/Mig_FreeeInvoiceWork__c/a0FRB00000WjTmi2AF/view</t>
  </si>
  <si>
    <t>日鉄興和不動産株式会社</t>
  </si>
  <si>
    <t>CN-00000078</t>
  </si>
  <si>
    <t>CP-00000076</t>
  </si>
  <si>
    <t>商品選択: 「年払い割引」</t>
  </si>
  <si>
    <t>MFIW-000267</t>
  </si>
  <si>
    <t>https://samuraiarchitects.lightning.force.com/lightning/r/Mig_FreeeInvoiceWork__c/a0FRB00000WjTml2AF/view</t>
  </si>
  <si>
    <t>請求区分と契約先: 近鉄不動産株式会社 / 請求日: 2026-05-20 || 商品候補確認: 「[月額費用]Rendery Enterpriseプラン_11アカウント」 -&gt; 「Rendery Enterpriseプラン」 || 商品選択: 「[月額費用]セキュリティオプション+_運用費用」</t>
  </si>
  <si>
    <t>MFIW-000268</t>
  </si>
  <si>
    <t>https://samuraiarchitects.lightning.force.com/lightning/r/Mig_FreeeInvoiceWork__c/a0FRB00000WjTmm2AF/view</t>
  </si>
  <si>
    <t>若築建設株式会社</t>
  </si>
  <si>
    <t>CN-00000104</t>
  </si>
  <si>
    <t>CP-00000102</t>
  </si>
  <si>
    <t>商品選択: 「Rendery Proプラン1アカウント_年払い」</t>
  </si>
  <si>
    <t>MFIW-000114</t>
  </si>
  <si>
    <t>https://samuraiarchitects.lightning.force.com/lightning/r/Mig_FreeeInvoiceWork__c/a0FRB00000UtKuT2AV/view</t>
  </si>
  <si>
    <t>SFテスト</t>
  </si>
  <si>
    <t>C01</t>
  </si>
  <si>
    <t>請求区分と契約先: SFテスト / 請求日: 2026-05-21</t>
  </si>
  <si>
    <t>MFIW-000125</t>
  </si>
  <si>
    <t>https://samuraiarchitects.lightning.force.com/lightning/r/Mig_FreeeInvoiceWork__c/a0FRB00000UtM9t2AF/view</t>
  </si>
  <si>
    <t>どさんこ不動産</t>
  </si>
  <si>
    <t>請求区分と契約先: どさんこ不動産 / 請求日: 2026-06-19</t>
  </si>
  <si>
    <t>MFIW-000126</t>
  </si>
  <si>
    <t>https://samuraiarchitects.lightning.force.com/lightning/r/Mig_FreeeInvoiceWork__c/a0FRB00000UtM9u2AF/view</t>
  </si>
  <si>
    <t>帝国不動産株式会社</t>
  </si>
  <si>
    <t>CN-00000188</t>
  </si>
  <si>
    <t>CP-00000196</t>
  </si>
  <si>
    <t>INV-0000000109</t>
  </si>
  <si>
    <t>A02</t>
  </si>
  <si>
    <t>金額差異: 請求金額 52,800 円 / 明細合計 96,000 円 / 差額 43,200 円</t>
  </si>
  <si>
    <t>MFIW-000174</t>
  </si>
  <si>
    <t>https://samuraiarchitects.lightning.force.com/lightning/r/Mig_FreeeInvoiceWork__c/a0FRB00000WicaT2AR/view</t>
  </si>
  <si>
    <t>MFIW-000183</t>
  </si>
  <si>
    <t>https://samuraiarchitects.lightning.force.com/lightning/r/Mig_FreeeInvoiceWork__c/a0FRB00000WhTPP2A3/view</t>
  </si>
  <si>
    <t>株式会社デザインアーク</t>
  </si>
  <si>
    <t>請求区分と契約先: 株式会社デザインアーク / 請求日: 2026-06-20</t>
  </si>
  <si>
    <t>MFIW-000206</t>
  </si>
  <si>
    <t>https://samuraiarchitects.lightning.force.com/lightning/r/Mig_FreeeInvoiceWork__c/a0FRB00000WihDQ2AZ/view</t>
  </si>
  <si>
    <t>梅林建設株式会社</t>
  </si>
  <si>
    <t>CN-00000107</t>
  </si>
  <si>
    <t>CP-00000105</t>
  </si>
  <si>
    <t>MFIW-000208</t>
  </si>
  <si>
    <t>https://samuraiarchitects.lightning.force.com/lightning/r/Mig_FreeeInvoiceWork__c/a0FRB00000WihDS2AZ/view</t>
  </si>
  <si>
    <t>株式会社NTTファシリティーズ</t>
  </si>
  <si>
    <t>請求区分と契約先: 株式会社NTTファシリティーズ / 請求日: 2026-06-20 || 商品選択: 「Rendery Enterpriseプラン_10アカウント_月払い費用」</t>
  </si>
  <si>
    <t>MFIW-000211</t>
  </si>
  <si>
    <t>https://samuraiarchitects.lightning.force.com/lightning/r/Mig_FreeeInvoiceWork__c/a0FRB00000WihDV2AZ/view</t>
  </si>
  <si>
    <t>創建ホーム株式会社</t>
  </si>
  <si>
    <t>CN-00000112</t>
  </si>
  <si>
    <t>CP-00000110</t>
  </si>
  <si>
    <t>MFIW-000156</t>
  </si>
  <si>
    <t>https://samuraiarchitects.lightning.force.com/lightning/r/Mig_FreeeInvoiceWork__c/a0FRB00000WieAb2AJ/view</t>
  </si>
  <si>
    <t>コクヨ株式会社 ワークプレイス事業本部 スペースソリューション本部</t>
  </si>
  <si>
    <t>請求区分と契約先: コクヨ株式会社 ワークプレイス事業本部 スペースソリューション本部 / 請求日: 2026-06-25 || 商品選択: 「パースディレクション」 || 商品選択: 「※パース製作も含む」</t>
  </si>
  <si>
    <t>MFIW-000157</t>
  </si>
  <si>
    <t>https://samuraiarchitects.lightning.force.com/lightning/r/Mig_FreeeInvoiceWork__c/a0FRB00000Wi6a42AB/view</t>
  </si>
  <si>
    <t>株式会社コスモスイニシア</t>
  </si>
  <si>
    <t>請求区分と契約先: 株式会社コスモスイニシア / 請求日: 2026-06-26 || 商品選択: 「プロポーザルに関するディレクション業務（着手金）」</t>
  </si>
  <si>
    <t>MFIW-000150</t>
  </si>
  <si>
    <t>https://samuraiarchitects.lightning.force.com/lightning/r/Mig_FreeeInvoiceWork__c/a0FRB00000Wi4gd2AB/view</t>
  </si>
  <si>
    <t>株式会社オリバー</t>
  </si>
  <si>
    <t>請求区分と契約先: 株式会社オリバー / 請求日: 2026-06-29 || 商品選択: 「着手金として」</t>
  </si>
  <si>
    <t>MFIW-000151</t>
  </si>
  <si>
    <t>https://samuraiarchitects.lightning.force.com/lightning/r/Mig_FreeeInvoiceWork__c/a0FRB00000Wi4ge2AB/view</t>
  </si>
  <si>
    <t>株式会社ＬＩＸＩＬ</t>
  </si>
  <si>
    <t>請求区分と契約先: 株式会社ＬＩＸＩＬ / 請求日: 2026-06-29 || 商品選択: 「AIによる空間提案ツール開発 （2026年6⽉-9⽉）」 || 商品選択: 「要件定義・コンサルティング」 || 商品選択: 「UX/UIデザイン」 || 商品選択: 「フロントエンド開発」 || 商品選択: 「AI画像⽣成パイプライン」 || 商品選択: 「バックエンド/API開発」 || 商品選択: 「テスト・品質保証」 || 商品選択: 「PM・運⽤準備」 || 商品選択: 「システム保守運⽤費⽤ （2026年9⽉-2027年3⽉）」 || 商品選択: 「AI 画像⽣成 API 費⽤ ※1000組×1組当たり4枚画像⽣成想定」</t>
  </si>
  <si>
    <t>MFIW-000152</t>
  </si>
  <si>
    <t>https://samuraiarchitects.lightning.force.com/lightning/r/Mig_FreeeInvoiceWork__c/a0FRB00000Wi4gf2AB/view</t>
  </si>
  <si>
    <t>請求区分と契約先: 株式会社ＬＩＸＩＬ / 請求日: 2026-06-29 || 商品選択: 「着手金」</t>
  </si>
  <si>
    <t>MFIW-000153</t>
  </si>
  <si>
    <t>https://samuraiarchitects.lightning.force.com/lightning/r/Mig_FreeeInvoiceWork__c/a0FRB00000WiSXe2AN/view</t>
  </si>
  <si>
    <t>クウジット株式会社</t>
  </si>
  <si>
    <t>請求区分と契約先: クウジット株式会社 / 請求日: 2026-07-02 || 商品選択: 「システム保守運用費＿2026年4-6月度」</t>
  </si>
  <si>
    <t>MFIW-000154</t>
  </si>
  <si>
    <t>https://samuraiarchitects.lightning.force.com/lightning/r/Mig_FreeeInvoiceWork__c/a0FRB00000Wic2L2AR/view</t>
  </si>
  <si>
    <t>商品選択: 「交通費」</t>
  </si>
  <si>
    <t>MFIW-000373</t>
  </si>
  <si>
    <t>https://samuraiarchitects.lightning.force.com/lightning/r/Mig_FreeeInvoiceWork__c/a0FRB00000XX8tV2AT/view</t>
  </si>
  <si>
    <t>愛知建築士会</t>
  </si>
  <si>
    <t>請求区分と契約先: 愛知建築士会 / 請求日: 2026-07-07 || 商品選択: 「講師費」 || 商品選択: 「交通費（往復）」</t>
  </si>
  <si>
    <t>MFIW-000374</t>
  </si>
  <si>
    <t>https://samuraiarchitects.lightning.force.com/lightning/r/Mig_FreeeInvoiceWork__c/a0FRB00000YomM12AJ/view</t>
  </si>
  <si>
    <t>野村不動産株式会社</t>
  </si>
  <si>
    <t>請求区分と契約先: 野村不動産株式会社 / 請求日: 2026-07-14 || 商品選択: 「外観モデル」</t>
  </si>
  <si>
    <t>MFIW-000378</t>
  </si>
  <si>
    <t>https://samuraiarchitects.lightning.force.com/lightning/r/Mig_FreeeInvoiceWork__c/a0FRB00000Ypg4v2AB/view</t>
  </si>
  <si>
    <t>株式会社アールシーコア</t>
  </si>
  <si>
    <t>請求区分と契約先: 株式会社アールシーコア / 請求日: 2026-07-20 || 商品選択: 「セキュリティオプション+_運用費用_月額」</t>
  </si>
  <si>
    <t>MFIW-000388</t>
  </si>
  <si>
    <t>https://samuraiarchitects.lightning.force.com/lightning/r/Mig_FreeeInvoiceWork__c/a0FRB00000YptF22AJ/view</t>
  </si>
  <si>
    <t>コンチネンタルホーム株式会社</t>
  </si>
  <si>
    <t>CN-00000196</t>
  </si>
  <si>
    <t>CP-00000285</t>
  </si>
  <si>
    <t>商品候補確認: 「Rendery_Proプラン_5アカウント(月額費用)」 -&gt; 「Rendery Proプラン」</t>
  </si>
  <si>
    <t>MFIW-000398</t>
  </si>
  <si>
    <t>https://samuraiarchitects.lightning.force.com/lightning/r/Mig_FreeeInvoiceWork__c/a0FRB00000Yq7Em2AJ/view</t>
  </si>
  <si>
    <t>請求区分と契約先: 近鉄不動産株式会社 / 請求日: 2026-07-20 || 商品候補確認: 「[月額費用]Rendery Enterpriseプラン_11アカウント」 -&gt; 「Rendery Enterpriseプラン」 || 商品選択: 「[月額費用]セキュリティオプション+_運用費用」</t>
  </si>
  <si>
    <t>MFIW-000405</t>
  </si>
  <si>
    <t>https://samuraiarchitects.lightning.force.com/lightning/r/Mig_FreeeInvoiceWork__c/a0FRB00000YqK3t2AF/view</t>
  </si>
  <si>
    <t>株式会社野村工務店</t>
  </si>
  <si>
    <t>請求区分と契約先: 株式会社野村工務店 / 請求日: 2026-07-20 || 商品候補確認: 「Rendery Enterpriseプラン_10アカウント_月額費用」 -&gt; 「[代理販売20%] Rendery Enterpriseプラン」</t>
  </si>
  <si>
    <t>MFIW-000406</t>
  </si>
  <si>
    <t>https://samuraiarchitects.lightning.force.com/lightning/r/Mig_FreeeInvoiceWork__c/a0FRB00000YqK3u2AF/view</t>
  </si>
  <si>
    <t>株式会社サンテン・コーポレーション</t>
  </si>
  <si>
    <t>請求区分と契約先: 株式会社サンテン・コーポレーション / 請求日: 2026-07-20 || 商品候補確認: 「Rendery Proプラン_月額費用」 -&gt; 「Rendery Proプラン」</t>
  </si>
  <si>
    <t>MFIW-000407</t>
  </si>
  <si>
    <t>https://samuraiarchitects.lightning.force.com/lightning/r/Mig_FreeeInvoiceWork__c/a0FRB00000YqK3v2AF/view</t>
  </si>
  <si>
    <t>株式会社パインウェル</t>
  </si>
  <si>
    <t>請求区分と契約先: 株式会社パインウェル / 請求日: 2026-07-20 || 商品候補確認: 「Rendery Proプラン（月額）」 -&gt; 「Rendery Proプラン」</t>
  </si>
  <si>
    <t>MFIW-000410</t>
  </si>
  <si>
    <t>https://samuraiarchitects.lightning.force.com/lightning/r/Mig_FreeeInvoiceWork__c/a0FRB00000YqK3y2AF/view</t>
  </si>
  <si>
    <t>商品候補確認: 「Rendery_Pro_月額利用料_注文番号：405342481」 -&gt; 「[代理販売20%] Rendery Proプラン」</t>
  </si>
  <si>
    <t>MFIW-000413</t>
  </si>
  <si>
    <t>https://samuraiarchitects.lightning.force.com/lightning/r/Mig_FreeeInvoiceWork__c/a0FRB00000YqK412AF/view</t>
  </si>
  <si>
    <t>請求区分と契約先: 野村不動産株式会社 / 請求日: 2026-07-20 || 商品選択: 「セキュリティオプション(シングルサインオン)月額費用」</t>
  </si>
  <si>
    <t>MFIW-000414</t>
  </si>
  <si>
    <t>https://samuraiarchitects.lightning.force.com/lightning/r/Mig_FreeeInvoiceWork__c/a0FRB00000YqK422AF/view</t>
  </si>
  <si>
    <t>商品候補確認: 「Rendery Enterpriseプラン_10アカウント_月額費用」 -&gt; 「[代理販売20%] Rendery Enterpriseプラン」</t>
  </si>
  <si>
    <t>MFIW-000415</t>
  </si>
  <si>
    <t>https://samuraiarchitects.lightning.force.com/lightning/r/Mig_FreeeInvoiceWork__c/a0FRB00000YqSO22AN/view</t>
  </si>
  <si>
    <t>株式会社ワンズ・レーニア</t>
  </si>
  <si>
    <t>CN-00000228</t>
  </si>
  <si>
    <t>CP-00000368</t>
  </si>
  <si>
    <t>I01</t>
  </si>
  <si>
    <t>明細照合: Salesforce請求「」 / Freee請求書ID 63128994</t>
  </si>
  <si>
    <t>MFIW-000421</t>
  </si>
  <si>
    <t>https://samuraiarchitects.lightning.force.com/lightning/r/Mig_FreeeInvoiceWork__c/a0FRB00000YqSO82AN/view</t>
  </si>
  <si>
    <t>CN-00000210</t>
  </si>
  <si>
    <t>請求区分と契約先: 株式会社ヨコハマ地所 / 請求日: 2026-07-20 || 商品候補確認: 「knock knock AI_Basicプラン」 -&gt; 「knock knock AI Basicプラン(50クレジット)」</t>
  </si>
  <si>
    <t>MFIW-000422</t>
  </si>
  <si>
    <t>https://samuraiarchitects.lightning.force.com/lightning/r/Mig_FreeeInvoiceWork__c/a0FRB00000YqSO92AN/view</t>
  </si>
  <si>
    <t>MFIW-000431</t>
  </si>
  <si>
    <t>https://samuraiarchitects.lightning.force.com/lightning/r/Mig_FreeeInvoiceWork__c/a0FRB00000YqLuW2AV/view</t>
  </si>
  <si>
    <t>請求区分と契約先: 株式会社デザインアーク / 請求日: 2026-07-20</t>
  </si>
  <si>
    <t>MFIW-000447</t>
  </si>
  <si>
    <t>https://samuraiarchitects.lightning.force.com/lightning/r/Mig_FreeeInvoiceWork__c/a0FRB00000YswQ42AJ/view</t>
  </si>
  <si>
    <t>プラス株式会社</t>
  </si>
  <si>
    <t>請求区分と契約先: プラス株式会社 / 請求日: 2026-07-31 || 商品選択: 「事業開発検討」 || 商品選択: 「3Dモデル自動生成システム開発PoC」</t>
  </si>
  <si>
    <t>共通確認事項</t>
  </si>
  <si>
    <t>コード</t>
  </si>
  <si>
    <t>共通して確認すること</t>
  </si>
  <si>
    <t>確認後の対応</t>
  </si>
  <si>
    <t>請求が月契約・年契約・単発請求のどれか、既存契約へ紐づけるか新規契約を作るか、請求日を含む契約期間を作成してよいか確認する。</t>
  </si>
  <si>
    <t>取引先・商品・件名キーワード・請求区分が一意になるFreee請求契約ルールを登録し、有効化する。</t>
  </si>
  <si>
    <t>Freee明細名・単価・数量と候補商品が一致し、その商品として確定してよいか確認する。</t>
  </si>
  <si>
    <t>候補商品を確定商品に設定し、継続利用する名称は商品マッピングへ登録する。</t>
  </si>
  <si>
    <t>商品候補がない明細について、既存商品、汎用商品、商品マスタ追加のどれで管理するか確認する。</t>
  </si>
  <si>
    <t>商品マスタを選択または追加し、確定商品と商品マッピングを設定する。</t>
  </si>
  <si>
    <t>Freee明細名と確定商品名が類似していないため、単価・数量・契約内容を含めて誤紐づけでないか確認する。</t>
  </si>
  <si>
    <t>正しければ正式な別名として商品マッピングへ登録し、誤りなら正しい商品へ変更する。</t>
  </si>
  <si>
    <t>A01</t>
  </si>
  <si>
    <t>現在の請求金額と明細合計は一致しているため、古い金額エラーが再検証で消えるか確認する。</t>
  </si>
  <si>
    <t>データを変更せず再検証し、残る場合だけRaw JSONの税込・税抜金額と税額を調査する。</t>
  </si>
  <si>
    <t>現在も請求金額と明細合計が異なるため、税、値引き、源泉税、調整額、明細重複のどれが原因かFreee原本で確認する。</t>
  </si>
  <si>
    <t>Freee原本を正としてWorkの税額・請求金額・明細を補正する。</t>
  </si>
  <si>
    <t>作成済みSalesforce請求とFreee請求の明細を、Freee明細ID・件名・数量・単価・金額単位で比較する。</t>
  </si>
  <si>
    <t>既存明細を直接削除せず、差分確定後に不足明細の追加または誤明細の訂正を行う。</t>
  </si>
  <si>
    <t>対応履歴</t>
  </si>
  <si>
    <t>対応日</t>
  </si>
  <si>
    <t>対応内容</t>
  </si>
  <si>
    <t>対象</t>
  </si>
  <si>
    <t>結果</t>
  </si>
  <si>
    <t>残対応</t>
  </si>
  <si>
    <t>商品変換を確定</t>
  </si>
  <si>
    <t>knock knock AI Basicプラン → knock knock AI Basicプラン(50クレジット)</t>
  </si>
  <si>
    <t>8件の商品確定、3件の請求反映</t>
  </si>
  <si>
    <t>契約・契約期間確認4件、既存請求明細照合1件</t>
  </si>
  <si>
    <t>knock knock AI_Basicプラン(月額) → knock knock AI Basicプラン(50クレジット)</t>
  </si>
  <si>
    <t>24件の商品確定、16件の請求反映</t>
  </si>
  <si>
    <t>契約・契約期間確認3件、既存請求明細照合5件</t>
  </si>
  <si>
    <t>A01再検証・税額補正</t>
  </si>
  <si>
    <t>税込入力請求の税額二重計上5件</t>
  </si>
  <si>
    <t>既存請求補正2件、重複対象外1件、A01残件0件</t>
  </si>
  <si>
    <t>商品確認1件、契約・商品確認1件</t>
  </si>
  <si>
    <t>年一括商品を確定</t>
  </si>
  <si>
    <t>年払い表記のRendery商品9明細</t>
  </si>
  <si>
    <t>9明細を年一括商品へ確定、完全一致マッピング9件登録</t>
  </si>
  <si>
    <t>年払い割引・SSO・通常Pro商品の商品マスタ確認</t>
  </si>
  <si>
    <t>knock knock AI Basicプラン(月額) → knock knock AI Basicプラン(50クレジット)</t>
  </si>
  <si>
    <t>5件の商品確定、4件の請求反映</t>
  </si>
  <si>
    <t>契約・契約期間確認1件</t>
  </si>
  <si>
    <t>追加P01の商品変換を確定</t>
  </si>
  <si>
    <t>knock knock AI_Basicプラン等 → knock knock AI Basicプラン(50クレジット)</t>
  </si>
  <si>
    <t>14件の商品確定、14件の請求反映、完全一致マッピング2件登録</t>
  </si>
  <si>
    <t>なし</t>
  </si>
  <si>
    <t>P03の商品誤紐づけ確認を解消</t>
  </si>
  <si>
    <t>Rendery エンタープライズプラン表記3種 → [OLD] Rendery Enterpriseプラン(2025年9月まで)</t>
  </si>
  <si>
    <t>4件の金額一致を確認して商品確定・反映、完全一致マッピング3件登録</t>
  </si>
  <si>
    <t>P03の商品誤紐づけを訂正</t>
  </si>
  <si>
    <t>KnockKnockAI_Basicプラン(月額) → knock knock AI Basicプラン(50クレジット)</t>
  </si>
  <si>
    <t>5件の金額一致を確認、既存請求明細1件を含めて商品を統一</t>
  </si>
  <si>
    <t>反映可能Workを本反映</t>
  </si>
  <si>
    <t>反映可能98件・請求明細Work124件</t>
  </si>
  <si>
    <t>77件を反映済み、請求76件・請求明細80件を新規作成</t>
  </si>
  <si>
    <t>既存請求明細照合13件、商品名類似性確認8件</t>
  </si>
  <si>
    <t>本反映後の追加照合</t>
  </si>
  <si>
    <t>要確認へ移行した21件</t>
  </si>
  <si>
    <t>既存請求明細17件を照合確定、新規請求2件を作成、商品補正11件、合計19件を反映済み</t>
  </si>
  <si>
    <t>VISIOAL商品判断1件、Rendery Enterprise商品二重候補1件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</si>
</sst>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0.0%"/>
    <numFmt numFmtId="180" formatCode="yyyy\-mm\-dd"/>
  </numFmts>
  <fonts count="10">
    <font>
      <sz val="11"/>
      <color theme="1"/>
      <name val="游ゴシック"/>
      <family val="2"/>
      <charset val="128"/>
      <scheme val="minor"/>
    </font>
    <font>
      <sz val="10"/>
      <color theme="1"/>
      <name val="Yu Gothic"/>
      <family val="3"/>
      <charset val="128"/>
    </font>
    <font>
      <b/>
      <sz val="10"/>
      <color rgb="FFFFFFFF"/>
      <name val="Yu Gothic"/>
      <family val="3"/>
      <charset val="128"/>
    </font>
    <font>
      <b/>
      <sz val="18"/>
      <color rgb="FFFFFFFF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10"/>
      <color rgb="FF123B63"/>
      <name val="Yu Gothic"/>
      <family val="3"/>
      <charset val="128"/>
    </font>
    <font>
      <b/>
      <sz val="10"/>
      <color rgb="FF123B63"/>
      <name val="Yu Gothic"/>
      <family val="3"/>
      <charset val="128"/>
    </font>
    <font>
      <b/>
      <sz val="10"/>
      <color rgb="FF2E6B2E"/>
      <name val="Yu Gothic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b/>
      <sz val="16"/>
      <color rgb="FFFFFFFF"/>
      <name val="Yu Gothic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123B63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2F0D9"/>
        <bgColor indexed="64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/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1" xfId="0" applyFont="1" applyFill="1" applyBorder="1" applyAlignment="1">
      <alignment vertical="top"/>
    </xf>
    <xf numFmtId="0" fontId="5" fillId="3" borderId="1" xfId="0" applyFont="1" applyFill="1" applyBorder="1" applyAlignment="1">
      <alignment vertical="top"/>
    </xf>
    <xf numFmtId="0" fontId="6" fillId="4" borderId="1" xfId="0" applyFont="1" applyFill="1" applyBorder="1" applyAlignment="1">
      <alignment vertical="top"/>
    </xf>
    <xf numFmtId="179" fontId="6" fillId="4" borderId="1" xfId="0" applyNumberFormat="1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7" fillId="6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1" fillId="0" borderId="5" xfId="0" applyFont="1" applyBorder="1" applyAlignment="1">
      <alignment vertical="top"/>
    </xf>
    <xf numFmtId="0" fontId="8" fillId="0" borderId="1" xfId="1" applyBorder="1" applyAlignment="1">
      <alignment vertical="top" wrapText="1"/>
    </xf>
    <xf numFmtId="180" fontId="1" fillId="0" borderId="1" xfId="0" applyNumberFormat="1" applyFont="1" applyBorder="1" applyAlignment="1">
      <alignment vertical="top"/>
    </xf>
    <xf numFmtId="3" fontId="1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8" fillId="0" borderId="3" xfId="1" applyBorder="1" applyAlignment="1">
      <alignment vertical="top" wrapText="1"/>
    </xf>
    <xf numFmtId="180" fontId="1" fillId="0" borderId="3" xfId="0" applyNumberFormat="1" applyFont="1" applyBorder="1" applyAlignment="1">
      <alignment vertical="top"/>
    </xf>
    <xf numFmtId="3" fontId="1" fillId="0" borderId="3" xfId="0" applyNumberFormat="1" applyFont="1" applyBorder="1" applyAlignment="1">
      <alignment vertical="top"/>
    </xf>
    <xf numFmtId="0" fontId="1" fillId="0" borderId="3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9" fillId="2" borderId="1" xfId="0" applyFont="1" applyFill="1" applyBorder="1" applyAlignment="1">
      <alignment vertical="top"/>
    </xf>
    <xf numFmtId="14" fontId="1" fillId="0" borderId="1" xfId="0" applyNumberFormat="1" applyFont="1" applyBorder="1" applyAlignment="1">
      <alignment vertical="top"/>
    </xf>
  </cellXfs>
  <cellStyles count="2">
    <cellStyle name="ハイパーリンク" xfId="1" builtinId="8"/>
    <cellStyle name="標準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Yu Gothic"/>
        <family val="3"/>
        <charset val="128"/>
        <scheme val="none"/>
      </font>
      <fill>
        <patternFill patternType="solid">
          <fgColor indexed="64"/>
          <bgColor rgb="FF123B63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CBD5E1"/>
        </left>
        <right/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numFmt numFmtId="180" formatCode="yyyy\-mm\-dd"/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numFmt numFmtId="3" formatCode="#,##0"/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numFmt numFmtId="180" formatCode="yyyy\-mm\-dd"/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/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border outline="0">
        <top style="thin">
          <color rgb="FFCBD5E1"/>
        </top>
      </border>
    </dxf>
    <dxf>
      <border outline="0">
        <bottom style="thin">
          <color rgb="FFCBD5E1"/>
        </bottom>
      </border>
    </dxf>
    <dxf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color rgb="FF123B63"/>
      </font>
      <fill>
        <patternFill>
          <bgColor rgb="FFD9EAF7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2E6B2E"/>
      </font>
      <fill>
        <patternFill>
          <bgColor rgb="FFE2F0D9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i val="0"/>
        <color rgb="FF9C1C1C"/>
      </font>
      <fill>
        <patternFill>
          <bgColor rgb="FFFD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DFF6D4-5E49-48EC-BFEF-59DDEC0C9465}" name="FreeeInvoiceReviewTable" displayName="FreeeInvoiceReviewTable" ref="A1:U62" totalsRowShown="0" headerRowDxfId="1" dataDxfId="0" headerRowBorderDxfId="24" tableBorderDxfId="25" totalsRowBorderDxfId="23">
  <autoFilter ref="A1:U62" xr:uid="{A4DFF6D4-5E49-48EC-BFEF-59DDEC0C9465}"/>
  <tableColumns count="21">
    <tableColumn id="1" xr3:uid="{439F5B10-7103-4B6B-B78D-E3896F0AD1E0}" name="No" dataDxfId="22"/>
    <tableColumn id="2" xr3:uid="{47A79AD1-7E7B-445E-B325-196BBC07EEF2}" name="優先度" dataDxfId="21"/>
    <tableColumn id="3" xr3:uid="{9A1D11AE-12C0-4DF3-960A-A7824273557F}" name="主原因" dataDxfId="20"/>
    <tableColumn id="4" xr3:uid="{7FACEDC4-EBE7-477D-8A34-1D2F1A2FAFB5}" name="Work名" dataDxfId="19"/>
    <tableColumn id="5" xr3:uid="{293A2A1E-34BB-42B6-B5B3-5B3E5386BD18}" name="Salesforce URL" dataDxfId="18" dataCellStyle="ハイパーリンク"/>
    <tableColumn id="6" xr3:uid="{5070705A-6B26-4649-B9DC-4571D03821FC}" name="Freee請求書ID" dataDxfId="17"/>
    <tableColumn id="7" xr3:uid="{BA9B2095-59F6-40F6-91B2-698BA7D99BE3}" name="取引先" dataDxfId="16"/>
    <tableColumn id="8" xr3:uid="{4D8496A1-73C2-4EEC-96D6-D940C0562701}" name="請求日" dataDxfId="15"/>
    <tableColumn id="9" xr3:uid="{A16953C2-4BBC-4944-8998-3E95F905395E}" name="請求金額" dataDxfId="14"/>
    <tableColumn id="10" xr3:uid="{70FC1F4B-E8BA-4267-BDB6-6563B9562B40}" name="契約管理" dataDxfId="13"/>
    <tableColumn id="11" xr3:uid="{05AA7844-F987-4C68-A373-2B90EC3AB33B}" name="契約期間" dataDxfId="12"/>
    <tableColumn id="12" xr3:uid="{C8B591A7-D484-49E8-A733-6573BFE099BE}" name="作成済み請求" dataDxfId="11"/>
    <tableColumn id="13" xr3:uid="{682B432C-AF65-4F82-A8C9-3BEAFA0E93F7}" name="確認コード" dataDxfId="10"/>
    <tableColumn id="14" xr3:uid="{18876018-4F4F-4059-A26B-60F62BC1ADF5}" name="個別確認対象" dataDxfId="9"/>
    <tableColumn id="15" xr3:uid="{B31208F8-E3F9-4138-AED0-0A4D9D5DA834}" name="自動反映可否" dataDxfId="8"/>
    <tableColumn id="16" xr3:uid="{CA3D27F6-74E5-49E4-A1CC-8B21B10A7424}" name="主担当" dataDxfId="7"/>
    <tableColumn id="17" xr3:uid="{AB33DFAE-E254-440E-8FA3-ADB66210EE63}" name="対応状況" dataDxfId="6"/>
    <tableColumn id="18" xr3:uid="{FCB8EC6D-EBE2-47E2-A084-E868C16B1CF2}" name="確認結果" dataDxfId="5"/>
    <tableColumn id="19" xr3:uid="{F477E10E-CAC3-4201-AC79-085344792B7D}" name="対応者" dataDxfId="4"/>
    <tableColumn id="20" xr3:uid="{C07F963B-2E6A-47C8-85C7-95150FE3E25A}" name="確認日" dataDxfId="3"/>
    <tableColumn id="21" xr3:uid="{E312AA6F-F348-4996-B8CB-F5DB318F80A9}" name="備考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samuraiarchitects.lightning.force.com/lightning/r/Mig_FreeeInvoiceWork__c/a0FRB00000Wj5UM2AZ/view" TargetMode="External"/><Relationship Id="rId18" Type="http://schemas.openxmlformats.org/officeDocument/2006/relationships/hyperlink" Target="https://samuraiarchitects.lightning.force.com/lightning/r/Mig_FreeeInvoiceWork__c/a0FRB00000WjFOq2AN/view" TargetMode="External"/><Relationship Id="rId26" Type="http://schemas.openxmlformats.org/officeDocument/2006/relationships/hyperlink" Target="https://samuraiarchitects.lightning.force.com/lightning/r/Mig_FreeeInvoiceWork__c/a0FRB00000WjTmd2AF/view" TargetMode="External"/><Relationship Id="rId39" Type="http://schemas.openxmlformats.org/officeDocument/2006/relationships/hyperlink" Target="https://samuraiarchitects.lightning.force.com/lightning/r/Mig_FreeeInvoiceWork__c/a0FRB00000WieAb2AJ/view" TargetMode="External"/><Relationship Id="rId21" Type="http://schemas.openxmlformats.org/officeDocument/2006/relationships/hyperlink" Target="https://samuraiarchitects.lightning.force.com/lightning/r/Mig_FreeeInvoiceWork__c/a0FRB00000WjFOy2AN/view" TargetMode="External"/><Relationship Id="rId34" Type="http://schemas.openxmlformats.org/officeDocument/2006/relationships/hyperlink" Target="https://samuraiarchitects.lightning.force.com/lightning/r/Mig_FreeeInvoiceWork__c/a0FRB00000WicaT2AR/view" TargetMode="External"/><Relationship Id="rId42" Type="http://schemas.openxmlformats.org/officeDocument/2006/relationships/hyperlink" Target="https://samuraiarchitects.lightning.force.com/lightning/r/Mig_FreeeInvoiceWork__c/a0FRB00000Wi4ge2AB/view" TargetMode="External"/><Relationship Id="rId47" Type="http://schemas.openxmlformats.org/officeDocument/2006/relationships/hyperlink" Target="https://samuraiarchitects.lightning.force.com/lightning/r/Mig_FreeeInvoiceWork__c/a0FRB00000YomM12AJ/view" TargetMode="External"/><Relationship Id="rId50" Type="http://schemas.openxmlformats.org/officeDocument/2006/relationships/hyperlink" Target="https://samuraiarchitects.lightning.force.com/lightning/r/Mig_FreeeInvoiceWork__c/a0FRB00000Yq7Em2AJ/view" TargetMode="External"/><Relationship Id="rId55" Type="http://schemas.openxmlformats.org/officeDocument/2006/relationships/hyperlink" Target="https://samuraiarchitects.lightning.force.com/lightning/r/Mig_FreeeInvoiceWork__c/a0FRB00000YqK412AF/view" TargetMode="External"/><Relationship Id="rId7" Type="http://schemas.openxmlformats.org/officeDocument/2006/relationships/hyperlink" Target="https://samuraiarchitects.lightning.force.com/lightning/r/Mig_FreeeInvoiceWork__c/a0FRB00000WjhrH2AR/view" TargetMode="External"/><Relationship Id="rId2" Type="http://schemas.openxmlformats.org/officeDocument/2006/relationships/hyperlink" Target="https://samuraiarchitects.lightning.force.com/lightning/r/Mig_FreeeInvoiceWork__c/a0FRB00000Wj59H2AR/view" TargetMode="External"/><Relationship Id="rId16" Type="http://schemas.openxmlformats.org/officeDocument/2006/relationships/hyperlink" Target="https://samuraiarchitects.lightning.force.com/lightning/r/Mig_FreeeInvoiceWork__c/a0FRB00000Wj5UR2AZ/view" TargetMode="External"/><Relationship Id="rId29" Type="http://schemas.openxmlformats.org/officeDocument/2006/relationships/hyperlink" Target="https://samuraiarchitects.lightning.force.com/lightning/r/Mig_FreeeInvoiceWork__c/a0FRB00000WjTml2AF/view" TargetMode="External"/><Relationship Id="rId11" Type="http://schemas.openxmlformats.org/officeDocument/2006/relationships/hyperlink" Target="https://samuraiarchitects.lightning.force.com/lightning/r/Mig_FreeeInvoiceWork__c/a0FRB00000Wjfvv2AB/view" TargetMode="External"/><Relationship Id="rId24" Type="http://schemas.openxmlformats.org/officeDocument/2006/relationships/hyperlink" Target="https://samuraiarchitects.lightning.force.com/lightning/r/Mig_FreeeInvoiceWork__c/a0FRB00000WjSKX2A3/view" TargetMode="External"/><Relationship Id="rId32" Type="http://schemas.openxmlformats.org/officeDocument/2006/relationships/hyperlink" Target="https://samuraiarchitects.lightning.force.com/lightning/r/Mig_FreeeInvoiceWork__c/a0FRB00000UtM9t2AF/view" TargetMode="External"/><Relationship Id="rId37" Type="http://schemas.openxmlformats.org/officeDocument/2006/relationships/hyperlink" Target="https://samuraiarchitects.lightning.force.com/lightning/r/Mig_FreeeInvoiceWork__c/a0FRB00000WihDS2AZ/view" TargetMode="External"/><Relationship Id="rId40" Type="http://schemas.openxmlformats.org/officeDocument/2006/relationships/hyperlink" Target="https://samuraiarchitects.lightning.force.com/lightning/r/Mig_FreeeInvoiceWork__c/a0FRB00000Wi6a42AB/view" TargetMode="External"/><Relationship Id="rId45" Type="http://schemas.openxmlformats.org/officeDocument/2006/relationships/hyperlink" Target="https://samuraiarchitects.lightning.force.com/lightning/r/Mig_FreeeInvoiceWork__c/a0FRB00000Wic2L2AR/view" TargetMode="External"/><Relationship Id="rId53" Type="http://schemas.openxmlformats.org/officeDocument/2006/relationships/hyperlink" Target="https://samuraiarchitects.lightning.force.com/lightning/r/Mig_FreeeInvoiceWork__c/a0FRB00000YqK3v2AF/view" TargetMode="External"/><Relationship Id="rId58" Type="http://schemas.openxmlformats.org/officeDocument/2006/relationships/hyperlink" Target="https://samuraiarchitects.lightning.force.com/lightning/r/Mig_FreeeInvoiceWork__c/a0FRB00000YqSO82AN/view" TargetMode="External"/><Relationship Id="rId5" Type="http://schemas.openxmlformats.org/officeDocument/2006/relationships/hyperlink" Target="https://samuraiarchitects.lightning.force.com/lightning/r/Mig_FreeeInvoiceWork__c/a0FRB00000Wio6l2AB/view" TargetMode="External"/><Relationship Id="rId61" Type="http://schemas.openxmlformats.org/officeDocument/2006/relationships/hyperlink" Target="https://samuraiarchitects.lightning.force.com/lightning/r/Mig_FreeeInvoiceWork__c/a0FRB00000YswQ42AJ/view" TargetMode="External"/><Relationship Id="rId19" Type="http://schemas.openxmlformats.org/officeDocument/2006/relationships/hyperlink" Target="https://samuraiarchitects.lightning.force.com/lightning/r/Mig_FreeeInvoiceWork__c/a0FRB00000WjFOu2AN/view" TargetMode="External"/><Relationship Id="rId14" Type="http://schemas.openxmlformats.org/officeDocument/2006/relationships/hyperlink" Target="https://samuraiarchitects.lightning.force.com/lightning/r/Mig_FreeeInvoiceWork__c/a0FRB00000Wj5UO2AZ/view" TargetMode="External"/><Relationship Id="rId22" Type="http://schemas.openxmlformats.org/officeDocument/2006/relationships/hyperlink" Target="https://samuraiarchitects.lightning.force.com/lightning/r/Mig_FreeeInvoiceWork__c/a0FRB00000WjSKT2A3/view" TargetMode="External"/><Relationship Id="rId27" Type="http://schemas.openxmlformats.org/officeDocument/2006/relationships/hyperlink" Target="https://samuraiarchitects.lightning.force.com/lightning/r/Mig_FreeeInvoiceWork__c/a0FRB00000WjTme2AF/view" TargetMode="External"/><Relationship Id="rId30" Type="http://schemas.openxmlformats.org/officeDocument/2006/relationships/hyperlink" Target="https://samuraiarchitects.lightning.force.com/lightning/r/Mig_FreeeInvoiceWork__c/a0FRB00000WjTmm2AF/view" TargetMode="External"/><Relationship Id="rId35" Type="http://schemas.openxmlformats.org/officeDocument/2006/relationships/hyperlink" Target="https://samuraiarchitects.lightning.force.com/lightning/r/Mig_FreeeInvoiceWork__c/a0FRB00000WhTPP2A3/view" TargetMode="External"/><Relationship Id="rId43" Type="http://schemas.openxmlformats.org/officeDocument/2006/relationships/hyperlink" Target="https://samuraiarchitects.lightning.force.com/lightning/r/Mig_FreeeInvoiceWork__c/a0FRB00000Wi4gf2AB/view" TargetMode="External"/><Relationship Id="rId48" Type="http://schemas.openxmlformats.org/officeDocument/2006/relationships/hyperlink" Target="https://samuraiarchitects.lightning.force.com/lightning/r/Mig_FreeeInvoiceWork__c/a0FRB00000Ypg4v2AB/view" TargetMode="External"/><Relationship Id="rId56" Type="http://schemas.openxmlformats.org/officeDocument/2006/relationships/hyperlink" Target="https://samuraiarchitects.lightning.force.com/lightning/r/Mig_FreeeInvoiceWork__c/a0FRB00000YqK422AF/view" TargetMode="External"/><Relationship Id="rId8" Type="http://schemas.openxmlformats.org/officeDocument/2006/relationships/hyperlink" Target="https://samuraiarchitects.lightning.force.com/lightning/r/Mig_FreeeInvoiceWork__c/a0FRB00000WjhzK2AR/view" TargetMode="External"/><Relationship Id="rId51" Type="http://schemas.openxmlformats.org/officeDocument/2006/relationships/hyperlink" Target="https://samuraiarchitects.lightning.force.com/lightning/r/Mig_FreeeInvoiceWork__c/a0FRB00000YqK3t2AF/view" TargetMode="External"/><Relationship Id="rId3" Type="http://schemas.openxmlformats.org/officeDocument/2006/relationships/hyperlink" Target="https://samuraiarchitects.lightning.force.com/lightning/r/Mig_FreeeInvoiceWork__c/a0FRB00000Wj59J2AR/view" TargetMode="External"/><Relationship Id="rId12" Type="http://schemas.openxmlformats.org/officeDocument/2006/relationships/hyperlink" Target="https://samuraiarchitects.lightning.force.com/lightning/r/Mig_FreeeInvoiceWork__c/a0FRB00000Wj5UB2AZ/view" TargetMode="External"/><Relationship Id="rId17" Type="http://schemas.openxmlformats.org/officeDocument/2006/relationships/hyperlink" Target="https://samuraiarchitects.lightning.force.com/lightning/r/Mig_FreeeInvoiceWork__c/a0FRB00000WjFOi2AN/view" TargetMode="External"/><Relationship Id="rId25" Type="http://schemas.openxmlformats.org/officeDocument/2006/relationships/hyperlink" Target="https://samuraiarchitects.lightning.force.com/lightning/r/Mig_FreeeInvoiceWork__c/a0FRB00000WjTBg2AN/view" TargetMode="External"/><Relationship Id="rId33" Type="http://schemas.openxmlformats.org/officeDocument/2006/relationships/hyperlink" Target="https://samuraiarchitects.lightning.force.com/lightning/r/Mig_FreeeInvoiceWork__c/a0FRB00000UtM9u2AF/view" TargetMode="External"/><Relationship Id="rId38" Type="http://schemas.openxmlformats.org/officeDocument/2006/relationships/hyperlink" Target="https://samuraiarchitects.lightning.force.com/lightning/r/Mig_FreeeInvoiceWork__c/a0FRB00000WihDV2AZ/view" TargetMode="External"/><Relationship Id="rId46" Type="http://schemas.openxmlformats.org/officeDocument/2006/relationships/hyperlink" Target="https://samuraiarchitects.lightning.force.com/lightning/r/Mig_FreeeInvoiceWork__c/a0FRB00000XX8tV2AT/view" TargetMode="External"/><Relationship Id="rId59" Type="http://schemas.openxmlformats.org/officeDocument/2006/relationships/hyperlink" Target="https://samuraiarchitects.lightning.force.com/lightning/r/Mig_FreeeInvoiceWork__c/a0FRB00000YqSO92AN/view" TargetMode="External"/><Relationship Id="rId20" Type="http://schemas.openxmlformats.org/officeDocument/2006/relationships/hyperlink" Target="https://samuraiarchitects.lightning.force.com/lightning/r/Mig_FreeeInvoiceWork__c/a0FRB00000WjFOx2AN/view" TargetMode="External"/><Relationship Id="rId41" Type="http://schemas.openxmlformats.org/officeDocument/2006/relationships/hyperlink" Target="https://samuraiarchitects.lightning.force.com/lightning/r/Mig_FreeeInvoiceWork__c/a0FRB00000Wi4gd2AB/view" TargetMode="External"/><Relationship Id="rId54" Type="http://schemas.openxmlformats.org/officeDocument/2006/relationships/hyperlink" Target="https://samuraiarchitects.lightning.force.com/lightning/r/Mig_FreeeInvoiceWork__c/a0FRB00000YqK3y2AF/view" TargetMode="External"/><Relationship Id="rId62" Type="http://schemas.openxmlformats.org/officeDocument/2006/relationships/table" Target="../tables/table1.xml"/><Relationship Id="rId1" Type="http://schemas.openxmlformats.org/officeDocument/2006/relationships/hyperlink" Target="https://samuraiarchitects.lightning.force.com/lightning/r/Mig_FreeeInvoiceWork__c/a0FRB00000UtK9v2AF/view" TargetMode="External"/><Relationship Id="rId6" Type="http://schemas.openxmlformats.org/officeDocument/2006/relationships/hyperlink" Target="https://samuraiarchitects.lightning.force.com/lightning/r/Mig_FreeeInvoiceWork__c/a0FRB00000WjhrF2AR/view" TargetMode="External"/><Relationship Id="rId15" Type="http://schemas.openxmlformats.org/officeDocument/2006/relationships/hyperlink" Target="https://samuraiarchitects.lightning.force.com/lightning/r/Mig_FreeeInvoiceWork__c/a0FRB00000Wj5UQ2AZ/view" TargetMode="External"/><Relationship Id="rId23" Type="http://schemas.openxmlformats.org/officeDocument/2006/relationships/hyperlink" Target="https://samuraiarchitects.lightning.force.com/lightning/r/Mig_FreeeInvoiceWork__c/a0FRB00000WjSKU2A3/view" TargetMode="External"/><Relationship Id="rId28" Type="http://schemas.openxmlformats.org/officeDocument/2006/relationships/hyperlink" Target="https://samuraiarchitects.lightning.force.com/lightning/r/Mig_FreeeInvoiceWork__c/a0FRB00000WjTmi2AF/view" TargetMode="External"/><Relationship Id="rId36" Type="http://schemas.openxmlformats.org/officeDocument/2006/relationships/hyperlink" Target="https://samuraiarchitects.lightning.force.com/lightning/r/Mig_FreeeInvoiceWork__c/a0FRB00000WihDQ2AZ/view" TargetMode="External"/><Relationship Id="rId49" Type="http://schemas.openxmlformats.org/officeDocument/2006/relationships/hyperlink" Target="https://samuraiarchitects.lightning.force.com/lightning/r/Mig_FreeeInvoiceWork__c/a0FRB00000YptF22AJ/view" TargetMode="External"/><Relationship Id="rId57" Type="http://schemas.openxmlformats.org/officeDocument/2006/relationships/hyperlink" Target="https://samuraiarchitects.lightning.force.com/lightning/r/Mig_FreeeInvoiceWork__c/a0FRB00000YqSO22AN/view" TargetMode="External"/><Relationship Id="rId10" Type="http://schemas.openxmlformats.org/officeDocument/2006/relationships/hyperlink" Target="https://samuraiarchitects.lightning.force.com/lightning/r/Mig_FreeeInvoiceWork__c/a0FRB00000Wjfvs2AB/view" TargetMode="External"/><Relationship Id="rId31" Type="http://schemas.openxmlformats.org/officeDocument/2006/relationships/hyperlink" Target="https://samuraiarchitects.lightning.force.com/lightning/r/Mig_FreeeInvoiceWork__c/a0FRB00000UtKuT2AV/view" TargetMode="External"/><Relationship Id="rId44" Type="http://schemas.openxmlformats.org/officeDocument/2006/relationships/hyperlink" Target="https://samuraiarchitects.lightning.force.com/lightning/r/Mig_FreeeInvoiceWork__c/a0FRB00000WiSXe2AN/view" TargetMode="External"/><Relationship Id="rId52" Type="http://schemas.openxmlformats.org/officeDocument/2006/relationships/hyperlink" Target="https://samuraiarchitects.lightning.force.com/lightning/r/Mig_FreeeInvoiceWork__c/a0FRB00000YqK3u2AF/view" TargetMode="External"/><Relationship Id="rId60" Type="http://schemas.openxmlformats.org/officeDocument/2006/relationships/hyperlink" Target="https://samuraiarchitects.lightning.force.com/lightning/r/Mig_FreeeInvoiceWork__c/a0FRB00000YqLuW2AV/view" TargetMode="External"/><Relationship Id="rId4" Type="http://schemas.openxmlformats.org/officeDocument/2006/relationships/hyperlink" Target="https://samuraiarchitects.lightning.force.com/lightning/r/Mig_FreeeInvoiceWork__c/a0FRB00000Wj59M2AR/view" TargetMode="External"/><Relationship Id="rId9" Type="http://schemas.openxmlformats.org/officeDocument/2006/relationships/hyperlink" Target="https://samuraiarchitects.lightning.force.com/lightning/r/Mig_FreeeInvoiceWork__c/a0FRB00000Wjfvr2AB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41FF-B897-475E-A49B-8FCE8D43FE14}">
  <dimension ref="A1:E13"/>
  <sheetViews>
    <sheetView showGridLines="0" workbookViewId="0"/>
  </sheetViews>
  <sheetFormatPr defaultRowHeight="16.5"/>
  <cols>
    <col min="1" max="1" width="13.625" style="1" customWidth="1"/>
    <col min="2" max="2" width="28.625" style="1" customWidth="1"/>
    <col min="3" max="3" width="55.625" style="1" customWidth="1"/>
    <col min="4" max="4" width="34.625" style="1" customWidth="1"/>
    <col min="5" max="5" width="48.625" style="1" customWidth="1"/>
    <col min="6" max="16384" width="9" style="1"/>
  </cols>
  <sheetData>
    <row r="1" spans="1:5" ht="25.5">
      <c r="A1" s="25" t="s">
        <v>324</v>
      </c>
      <c r="B1" s="25"/>
      <c r="C1" s="25"/>
      <c r="D1" s="25"/>
      <c r="E1" s="25"/>
    </row>
    <row r="2" spans="1:5">
      <c r="A2" s="6"/>
      <c r="B2" s="6"/>
      <c r="C2" s="6"/>
      <c r="D2" s="6"/>
      <c r="E2" s="6"/>
    </row>
    <row r="3" spans="1:5">
      <c r="A3" s="7" t="s">
        <v>325</v>
      </c>
      <c r="B3" s="7" t="s">
        <v>326</v>
      </c>
      <c r="C3" s="7" t="s">
        <v>327</v>
      </c>
      <c r="D3" s="7" t="s">
        <v>328</v>
      </c>
      <c r="E3" s="7" t="s">
        <v>329</v>
      </c>
    </row>
    <row r="4" spans="1:5" ht="45" customHeight="1">
      <c r="A4" s="26">
        <v>46227</v>
      </c>
      <c r="B4" s="16" t="s">
        <v>330</v>
      </c>
      <c r="C4" s="16" t="s">
        <v>331</v>
      </c>
      <c r="D4" s="16" t="s">
        <v>332</v>
      </c>
      <c r="E4" s="16" t="s">
        <v>333</v>
      </c>
    </row>
    <row r="5" spans="1:5" ht="45" customHeight="1">
      <c r="A5" s="26">
        <v>46227</v>
      </c>
      <c r="B5" s="16" t="s">
        <v>330</v>
      </c>
      <c r="C5" s="16" t="s">
        <v>334</v>
      </c>
      <c r="D5" s="16" t="s">
        <v>335</v>
      </c>
      <c r="E5" s="16" t="s">
        <v>336</v>
      </c>
    </row>
    <row r="6" spans="1:5" ht="45" customHeight="1">
      <c r="A6" s="26">
        <v>46227</v>
      </c>
      <c r="B6" s="16" t="s">
        <v>337</v>
      </c>
      <c r="C6" s="16" t="s">
        <v>338</v>
      </c>
      <c r="D6" s="16" t="s">
        <v>339</v>
      </c>
      <c r="E6" s="16" t="s">
        <v>340</v>
      </c>
    </row>
    <row r="7" spans="1:5" ht="45" customHeight="1">
      <c r="A7" s="26">
        <v>46227</v>
      </c>
      <c r="B7" s="16" t="s">
        <v>341</v>
      </c>
      <c r="C7" s="16" t="s">
        <v>342</v>
      </c>
      <c r="D7" s="16" t="s">
        <v>343</v>
      </c>
      <c r="E7" s="16" t="s">
        <v>344</v>
      </c>
    </row>
    <row r="8" spans="1:5" ht="45" customHeight="1">
      <c r="A8" s="26">
        <v>46227</v>
      </c>
      <c r="B8" s="16" t="s">
        <v>330</v>
      </c>
      <c r="C8" s="16" t="s">
        <v>345</v>
      </c>
      <c r="D8" s="16" t="s">
        <v>346</v>
      </c>
      <c r="E8" s="16" t="s">
        <v>347</v>
      </c>
    </row>
    <row r="9" spans="1:5" ht="45" customHeight="1">
      <c r="A9" s="26">
        <v>46227</v>
      </c>
      <c r="B9" s="16" t="s">
        <v>348</v>
      </c>
      <c r="C9" s="16" t="s">
        <v>349</v>
      </c>
      <c r="D9" s="16" t="s">
        <v>350</v>
      </c>
      <c r="E9" s="16" t="s">
        <v>351</v>
      </c>
    </row>
    <row r="10" spans="1:5" ht="45" customHeight="1">
      <c r="A10" s="26">
        <v>46227</v>
      </c>
      <c r="B10" s="16" t="s">
        <v>352</v>
      </c>
      <c r="C10" s="16" t="s">
        <v>353</v>
      </c>
      <c r="D10" s="16" t="s">
        <v>354</v>
      </c>
      <c r="E10" s="16" t="s">
        <v>351</v>
      </c>
    </row>
    <row r="11" spans="1:5" ht="45" customHeight="1">
      <c r="A11" s="26">
        <v>46227</v>
      </c>
      <c r="B11" s="16" t="s">
        <v>355</v>
      </c>
      <c r="C11" s="16" t="s">
        <v>356</v>
      </c>
      <c r="D11" s="16" t="s">
        <v>357</v>
      </c>
      <c r="E11" s="16" t="s">
        <v>351</v>
      </c>
    </row>
    <row r="12" spans="1:5" ht="45" customHeight="1">
      <c r="A12" s="26">
        <v>46227</v>
      </c>
      <c r="B12" s="16" t="s">
        <v>358</v>
      </c>
      <c r="C12" s="16" t="s">
        <v>359</v>
      </c>
      <c r="D12" s="16" t="s">
        <v>360</v>
      </c>
      <c r="E12" s="16" t="s">
        <v>361</v>
      </c>
    </row>
    <row r="13" spans="1:5" ht="45" customHeight="1">
      <c r="A13" s="26">
        <v>46227</v>
      </c>
      <c r="B13" s="16" t="s">
        <v>362</v>
      </c>
      <c r="C13" s="16" t="s">
        <v>363</v>
      </c>
      <c r="D13" s="16" t="s">
        <v>364</v>
      </c>
      <c r="E13" s="16" t="s">
        <v>365</v>
      </c>
    </row>
  </sheetData>
  <mergeCells count="1">
    <mergeCell ref="A1:E1"/>
  </mergeCells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C72CD-19E9-44F7-935D-1B974F5FB9C9}">
  <dimension ref="A1:D10"/>
  <sheetViews>
    <sheetView showGridLines="0" zoomScale="85" zoomScaleNormal="85" workbookViewId="0">
      <pane ySplit="3" topLeftCell="A4" activePane="bottomLeft" state="frozenSplit"/>
      <selection pane="bottomLeft" sqref="A1:D1"/>
    </sheetView>
  </sheetViews>
  <sheetFormatPr defaultRowHeight="16.5"/>
  <cols>
    <col min="1" max="1" width="10.625" style="1" customWidth="1"/>
    <col min="2" max="2" width="12.625" style="1" customWidth="1"/>
    <col min="3" max="4" width="65.625" style="1" customWidth="1"/>
    <col min="5" max="16384" width="9" style="1"/>
  </cols>
  <sheetData>
    <row r="1" spans="1:4" ht="25.5">
      <c r="A1" s="25" t="s">
        <v>305</v>
      </c>
      <c r="B1" s="25"/>
      <c r="C1" s="25"/>
      <c r="D1" s="25"/>
    </row>
    <row r="2" spans="1:4">
      <c r="A2" s="6"/>
      <c r="B2" s="6"/>
      <c r="C2" s="6"/>
      <c r="D2" s="6"/>
    </row>
    <row r="3" spans="1:4">
      <c r="A3" s="7" t="s">
        <v>306</v>
      </c>
      <c r="B3" s="7" t="s">
        <v>2</v>
      </c>
      <c r="C3" s="7" t="s">
        <v>307</v>
      </c>
      <c r="D3" s="7" t="s">
        <v>308</v>
      </c>
    </row>
    <row r="4" spans="1:4" ht="48" customHeight="1">
      <c r="A4" s="6" t="s">
        <v>183</v>
      </c>
      <c r="B4" s="6">
        <v>39</v>
      </c>
      <c r="C4" s="16" t="s">
        <v>309</v>
      </c>
      <c r="D4" s="16" t="s">
        <v>310</v>
      </c>
    </row>
    <row r="5" spans="1:4" ht="48" customHeight="1">
      <c r="A5" s="6" t="s">
        <v>93</v>
      </c>
      <c r="B5" s="6">
        <v>24</v>
      </c>
      <c r="C5" s="16" t="s">
        <v>311</v>
      </c>
      <c r="D5" s="16" t="s">
        <v>312</v>
      </c>
    </row>
    <row r="6" spans="1:4" ht="48" customHeight="1">
      <c r="A6" s="6" t="s">
        <v>72</v>
      </c>
      <c r="B6" s="6">
        <v>33</v>
      </c>
      <c r="C6" s="16" t="s">
        <v>313</v>
      </c>
      <c r="D6" s="16" t="s">
        <v>314</v>
      </c>
    </row>
    <row r="7" spans="1:4" ht="48" customHeight="1">
      <c r="A7" s="6" t="s">
        <v>55</v>
      </c>
      <c r="B7" s="6">
        <v>1</v>
      </c>
      <c r="C7" s="16" t="s">
        <v>315</v>
      </c>
      <c r="D7" s="16" t="s">
        <v>316</v>
      </c>
    </row>
    <row r="8" spans="1:4" ht="48" customHeight="1">
      <c r="A8" s="6" t="s">
        <v>317</v>
      </c>
      <c r="B8" s="6">
        <v>0</v>
      </c>
      <c r="C8" s="16" t="s">
        <v>318</v>
      </c>
      <c r="D8" s="16" t="s">
        <v>319</v>
      </c>
    </row>
    <row r="9" spans="1:4" ht="48" customHeight="1">
      <c r="A9" s="6" t="s">
        <v>195</v>
      </c>
      <c r="B9" s="6">
        <v>1</v>
      </c>
      <c r="C9" s="16" t="s">
        <v>320</v>
      </c>
      <c r="D9" s="16" t="s">
        <v>321</v>
      </c>
    </row>
    <row r="10" spans="1:4" ht="48" customHeight="1">
      <c r="A10" s="6" t="s">
        <v>290</v>
      </c>
      <c r="B10" s="6">
        <v>1</v>
      </c>
      <c r="C10" s="16" t="s">
        <v>322</v>
      </c>
      <c r="D10" s="16" t="s">
        <v>323</v>
      </c>
    </row>
  </sheetData>
  <mergeCells count="1">
    <mergeCell ref="A1:D1"/>
  </mergeCells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42A1-51B6-494C-96F1-15F4840350DC}">
  <dimension ref="A1:U62"/>
  <sheetViews>
    <sheetView showGridLines="0" zoomScale="80" zoomScaleNormal="80" workbookViewId="0">
      <pane xSplit="4" ySplit="1" topLeftCell="E2" activePane="bottomRight" state="frozenSplit"/>
      <selection pane="bottomLeft" activeCell="A2" sqref="A2"/>
      <selection pane="topRight" activeCell="E1" sqref="E1"/>
      <selection pane="bottomRight"/>
    </sheetView>
  </sheetViews>
  <sheetFormatPr defaultRowHeight="16.5"/>
  <cols>
    <col min="1" max="1" width="7.625" style="1" customWidth="1"/>
    <col min="2" max="2" width="8.625" style="1" customWidth="1"/>
    <col min="3" max="3" width="23.625" style="1" customWidth="1"/>
    <col min="4" max="4" width="15.625" style="1" customWidth="1"/>
    <col min="5" max="5" width="58.625" style="1" customWidth="1"/>
    <col min="6" max="6" width="16.625" style="1" customWidth="1"/>
    <col min="7" max="7" width="28.625" style="1" customWidth="1"/>
    <col min="8" max="8" width="12.625" style="1" customWidth="1"/>
    <col min="9" max="9" width="14.625" style="1" customWidth="1"/>
    <col min="10" max="12" width="15.625" style="1" customWidth="1"/>
    <col min="13" max="13" width="12.625" style="1" customWidth="1"/>
    <col min="14" max="14" width="58.625" style="1" customWidth="1"/>
    <col min="15" max="15" width="20.625" style="1" customWidth="1"/>
    <col min="16" max="16" width="14.625" style="1" customWidth="1"/>
    <col min="17" max="18" width="12.625" style="1" customWidth="1"/>
    <col min="19" max="19" width="14.625" style="1" customWidth="1"/>
    <col min="20" max="20" width="12.625" style="1" customWidth="1"/>
    <col min="21" max="21" width="30.625" style="1" customWidth="1"/>
    <col min="22" max="16384" width="9" style="1"/>
  </cols>
  <sheetData>
    <row r="1" spans="1:21" ht="33.950000000000003" customHeight="1">
      <c r="A1" s="9" t="s">
        <v>29</v>
      </c>
      <c r="B1" s="10" t="s">
        <v>30</v>
      </c>
      <c r="C1" s="10" t="s">
        <v>5</v>
      </c>
      <c r="D1" s="10" t="s">
        <v>31</v>
      </c>
      <c r="E1" s="10" t="s">
        <v>32</v>
      </c>
      <c r="F1" s="10" t="s">
        <v>33</v>
      </c>
      <c r="G1" s="10" t="s">
        <v>34</v>
      </c>
      <c r="H1" s="10" t="s">
        <v>35</v>
      </c>
      <c r="I1" s="10" t="s">
        <v>36</v>
      </c>
      <c r="J1" s="10" t="s">
        <v>37</v>
      </c>
      <c r="K1" s="10" t="s">
        <v>38</v>
      </c>
      <c r="L1" s="10" t="s">
        <v>39</v>
      </c>
      <c r="M1" s="10" t="s">
        <v>40</v>
      </c>
      <c r="N1" s="10" t="s">
        <v>41</v>
      </c>
      <c r="O1" s="10" t="s">
        <v>42</v>
      </c>
      <c r="P1" s="10" t="s">
        <v>43</v>
      </c>
      <c r="Q1" s="10" t="s">
        <v>16</v>
      </c>
      <c r="R1" s="10" t="s">
        <v>44</v>
      </c>
      <c r="S1" s="10" t="s">
        <v>45</v>
      </c>
      <c r="T1" s="10" t="s">
        <v>46</v>
      </c>
      <c r="U1" s="11" t="s">
        <v>47</v>
      </c>
    </row>
    <row r="2" spans="1:21" ht="45" customHeight="1">
      <c r="A2" s="12">
        <v>1</v>
      </c>
      <c r="B2" s="6" t="s">
        <v>48</v>
      </c>
      <c r="C2" s="6" t="s">
        <v>10</v>
      </c>
      <c r="D2" s="6" t="s">
        <v>49</v>
      </c>
      <c r="E2" s="13" t="s">
        <v>50</v>
      </c>
      <c r="F2" s="6">
        <v>54113194</v>
      </c>
      <c r="G2" s="6" t="s">
        <v>51</v>
      </c>
      <c r="H2" s="14">
        <v>46101</v>
      </c>
      <c r="I2" s="15">
        <v>500500</v>
      </c>
      <c r="J2" s="6" t="s">
        <v>52</v>
      </c>
      <c r="K2" s="6" t="s">
        <v>53</v>
      </c>
      <c r="L2" s="6" t="s">
        <v>54</v>
      </c>
      <c r="M2" s="6" t="s">
        <v>55</v>
      </c>
      <c r="N2" s="16" t="s">
        <v>56</v>
      </c>
      <c r="O2" s="6" t="s">
        <v>57</v>
      </c>
      <c r="P2" s="6" t="s">
        <v>58</v>
      </c>
      <c r="Q2" s="6" t="s">
        <v>18</v>
      </c>
      <c r="R2" s="6" t="s">
        <v>59</v>
      </c>
      <c r="S2" s="6"/>
      <c r="T2" s="14"/>
      <c r="U2" s="17"/>
    </row>
    <row r="3" spans="1:21" ht="45" customHeight="1">
      <c r="A3" s="12">
        <v>2</v>
      </c>
      <c r="B3" s="6" t="s">
        <v>60</v>
      </c>
      <c r="C3" s="6" t="s">
        <v>9</v>
      </c>
      <c r="D3" s="6" t="s">
        <v>61</v>
      </c>
      <c r="E3" s="13" t="s">
        <v>62</v>
      </c>
      <c r="F3" s="6">
        <v>54153834</v>
      </c>
      <c r="G3" s="6" t="s">
        <v>63</v>
      </c>
      <c r="H3" s="14">
        <v>46101</v>
      </c>
      <c r="I3" s="15">
        <v>12100</v>
      </c>
      <c r="J3" s="6"/>
      <c r="K3" s="6"/>
      <c r="L3" s="6"/>
      <c r="M3" s="6" t="s">
        <v>64</v>
      </c>
      <c r="N3" s="16" t="s">
        <v>65</v>
      </c>
      <c r="O3" s="6" t="s">
        <v>66</v>
      </c>
      <c r="P3" s="6" t="s">
        <v>58</v>
      </c>
      <c r="Q3" s="6" t="s">
        <v>18</v>
      </c>
      <c r="R3" s="6" t="s">
        <v>59</v>
      </c>
      <c r="S3" s="6"/>
      <c r="T3" s="14"/>
      <c r="U3" s="17"/>
    </row>
    <row r="4" spans="1:21" ht="45" customHeight="1">
      <c r="A4" s="12">
        <v>3</v>
      </c>
      <c r="B4" s="6" t="s">
        <v>60</v>
      </c>
      <c r="C4" s="6" t="s">
        <v>8</v>
      </c>
      <c r="D4" s="6" t="s">
        <v>67</v>
      </c>
      <c r="E4" s="13" t="s">
        <v>68</v>
      </c>
      <c r="F4" s="6">
        <v>54153836</v>
      </c>
      <c r="G4" s="6" t="s">
        <v>69</v>
      </c>
      <c r="H4" s="14">
        <v>46101</v>
      </c>
      <c r="I4" s="15">
        <v>175450</v>
      </c>
      <c r="J4" s="6" t="s">
        <v>70</v>
      </c>
      <c r="K4" s="6" t="s">
        <v>71</v>
      </c>
      <c r="L4" s="6"/>
      <c r="M4" s="6" t="s">
        <v>72</v>
      </c>
      <c r="N4" s="16" t="s">
        <v>73</v>
      </c>
      <c r="O4" s="6" t="s">
        <v>74</v>
      </c>
      <c r="P4" s="6" t="s">
        <v>58</v>
      </c>
      <c r="Q4" s="6" t="s">
        <v>18</v>
      </c>
      <c r="R4" s="6" t="s">
        <v>59</v>
      </c>
      <c r="S4" s="6"/>
      <c r="T4" s="14"/>
      <c r="U4" s="17"/>
    </row>
    <row r="5" spans="1:21" ht="45" customHeight="1">
      <c r="A5" s="12">
        <v>4</v>
      </c>
      <c r="B5" s="6" t="s">
        <v>60</v>
      </c>
      <c r="C5" s="6" t="s">
        <v>9</v>
      </c>
      <c r="D5" s="6" t="s">
        <v>75</v>
      </c>
      <c r="E5" s="13" t="s">
        <v>76</v>
      </c>
      <c r="F5" s="6">
        <v>54153839</v>
      </c>
      <c r="G5" s="6" t="s">
        <v>77</v>
      </c>
      <c r="H5" s="14">
        <v>46101</v>
      </c>
      <c r="I5" s="15">
        <v>12100</v>
      </c>
      <c r="J5" s="6"/>
      <c r="K5" s="6"/>
      <c r="L5" s="6"/>
      <c r="M5" s="6" t="s">
        <v>64</v>
      </c>
      <c r="N5" s="16" t="s">
        <v>78</v>
      </c>
      <c r="O5" s="6" t="s">
        <v>66</v>
      </c>
      <c r="P5" s="6" t="s">
        <v>58</v>
      </c>
      <c r="Q5" s="6" t="s">
        <v>18</v>
      </c>
      <c r="R5" s="6" t="s">
        <v>59</v>
      </c>
      <c r="S5" s="6"/>
      <c r="T5" s="14"/>
      <c r="U5" s="17"/>
    </row>
    <row r="6" spans="1:21" ht="45" customHeight="1">
      <c r="A6" s="12">
        <v>5</v>
      </c>
      <c r="B6" s="6" t="s">
        <v>60</v>
      </c>
      <c r="C6" s="6" t="s">
        <v>9</v>
      </c>
      <c r="D6" s="6" t="s">
        <v>79</v>
      </c>
      <c r="E6" s="13" t="s">
        <v>80</v>
      </c>
      <c r="F6" s="6">
        <v>54249842</v>
      </c>
      <c r="G6" s="6" t="s">
        <v>81</v>
      </c>
      <c r="H6" s="14">
        <v>46101</v>
      </c>
      <c r="I6" s="15">
        <v>1056000</v>
      </c>
      <c r="J6" s="6"/>
      <c r="K6" s="6"/>
      <c r="L6" s="6"/>
      <c r="M6" s="6" t="s">
        <v>82</v>
      </c>
      <c r="N6" s="16" t="s">
        <v>83</v>
      </c>
      <c r="O6" s="6" t="s">
        <v>66</v>
      </c>
      <c r="P6" s="6" t="s">
        <v>58</v>
      </c>
      <c r="Q6" s="6" t="s">
        <v>18</v>
      </c>
      <c r="R6" s="6" t="s">
        <v>59</v>
      </c>
      <c r="S6" s="6"/>
      <c r="T6" s="14"/>
      <c r="U6" s="17"/>
    </row>
    <row r="7" spans="1:21" ht="45" customHeight="1">
      <c r="A7" s="12">
        <v>6</v>
      </c>
      <c r="B7" s="6" t="s">
        <v>60</v>
      </c>
      <c r="C7" s="6" t="s">
        <v>9</v>
      </c>
      <c r="D7" s="6" t="s">
        <v>84</v>
      </c>
      <c r="E7" s="13" t="s">
        <v>85</v>
      </c>
      <c r="F7" s="6">
        <v>54153861</v>
      </c>
      <c r="G7" s="6" t="s">
        <v>86</v>
      </c>
      <c r="H7" s="14">
        <v>46101</v>
      </c>
      <c r="I7" s="15">
        <v>108900</v>
      </c>
      <c r="J7" s="6"/>
      <c r="K7" s="6"/>
      <c r="L7" s="6"/>
      <c r="M7" s="6" t="s">
        <v>64</v>
      </c>
      <c r="N7" s="16" t="s">
        <v>87</v>
      </c>
      <c r="O7" s="6" t="s">
        <v>66</v>
      </c>
      <c r="P7" s="6" t="s">
        <v>58</v>
      </c>
      <c r="Q7" s="6" t="s">
        <v>18</v>
      </c>
      <c r="R7" s="6" t="s">
        <v>59</v>
      </c>
      <c r="S7" s="6"/>
      <c r="T7" s="14"/>
      <c r="U7" s="17"/>
    </row>
    <row r="8" spans="1:21" ht="45" customHeight="1">
      <c r="A8" s="12">
        <v>7</v>
      </c>
      <c r="B8" s="6" t="s">
        <v>60</v>
      </c>
      <c r="C8" s="6" t="s">
        <v>8</v>
      </c>
      <c r="D8" s="6" t="s">
        <v>88</v>
      </c>
      <c r="E8" s="13" t="s">
        <v>89</v>
      </c>
      <c r="F8" s="6">
        <v>54153863</v>
      </c>
      <c r="G8" s="6" t="s">
        <v>90</v>
      </c>
      <c r="H8" s="14">
        <v>46101</v>
      </c>
      <c r="I8" s="15">
        <v>60500</v>
      </c>
      <c r="J8" s="6" t="s">
        <v>91</v>
      </c>
      <c r="K8" s="6" t="s">
        <v>92</v>
      </c>
      <c r="L8" s="6"/>
      <c r="M8" s="6" t="s">
        <v>93</v>
      </c>
      <c r="N8" s="16" t="s">
        <v>94</v>
      </c>
      <c r="O8" s="6" t="s">
        <v>95</v>
      </c>
      <c r="P8" s="6" t="s">
        <v>58</v>
      </c>
      <c r="Q8" s="6" t="s">
        <v>18</v>
      </c>
      <c r="R8" s="6" t="s">
        <v>59</v>
      </c>
      <c r="S8" s="6"/>
      <c r="T8" s="14"/>
      <c r="U8" s="17"/>
    </row>
    <row r="9" spans="1:21" ht="45" customHeight="1">
      <c r="A9" s="12">
        <v>8</v>
      </c>
      <c r="B9" s="6" t="s">
        <v>60</v>
      </c>
      <c r="C9" s="6" t="s">
        <v>9</v>
      </c>
      <c r="D9" s="6" t="s">
        <v>96</v>
      </c>
      <c r="E9" s="13" t="s">
        <v>97</v>
      </c>
      <c r="F9" s="6">
        <v>54153879</v>
      </c>
      <c r="G9" s="6" t="s">
        <v>98</v>
      </c>
      <c r="H9" s="14">
        <v>46101</v>
      </c>
      <c r="I9" s="15">
        <v>123200</v>
      </c>
      <c r="J9" s="6"/>
      <c r="K9" s="6"/>
      <c r="L9" s="6"/>
      <c r="M9" s="6" t="s">
        <v>82</v>
      </c>
      <c r="N9" s="16" t="s">
        <v>99</v>
      </c>
      <c r="O9" s="6" t="s">
        <v>66</v>
      </c>
      <c r="P9" s="6" t="s">
        <v>58</v>
      </c>
      <c r="Q9" s="6" t="s">
        <v>18</v>
      </c>
      <c r="R9" s="6" t="s">
        <v>59</v>
      </c>
      <c r="S9" s="6"/>
      <c r="T9" s="14"/>
      <c r="U9" s="17"/>
    </row>
    <row r="10" spans="1:21" ht="45" customHeight="1">
      <c r="A10" s="12">
        <v>9</v>
      </c>
      <c r="B10" s="6" t="s">
        <v>60</v>
      </c>
      <c r="C10" s="6" t="s">
        <v>9</v>
      </c>
      <c r="D10" s="6" t="s">
        <v>100</v>
      </c>
      <c r="E10" s="13" t="s">
        <v>101</v>
      </c>
      <c r="F10" s="6">
        <v>56527531</v>
      </c>
      <c r="G10" s="6" t="s">
        <v>63</v>
      </c>
      <c r="H10" s="14">
        <v>46132</v>
      </c>
      <c r="I10" s="15">
        <v>12100</v>
      </c>
      <c r="J10" s="6"/>
      <c r="K10" s="6"/>
      <c r="L10" s="6"/>
      <c r="M10" s="6" t="s">
        <v>64</v>
      </c>
      <c r="N10" s="16" t="s">
        <v>102</v>
      </c>
      <c r="O10" s="6" t="s">
        <v>66</v>
      </c>
      <c r="P10" s="6" t="s">
        <v>58</v>
      </c>
      <c r="Q10" s="6" t="s">
        <v>18</v>
      </c>
      <c r="R10" s="6" t="s">
        <v>59</v>
      </c>
      <c r="S10" s="6"/>
      <c r="T10" s="14"/>
      <c r="U10" s="17"/>
    </row>
    <row r="11" spans="1:21" ht="45" customHeight="1">
      <c r="A11" s="12">
        <v>10</v>
      </c>
      <c r="B11" s="6" t="s">
        <v>60</v>
      </c>
      <c r="C11" s="6" t="s">
        <v>8</v>
      </c>
      <c r="D11" s="6" t="s">
        <v>103</v>
      </c>
      <c r="E11" s="13" t="s">
        <v>104</v>
      </c>
      <c r="F11" s="6">
        <v>56527532</v>
      </c>
      <c r="G11" s="6" t="s">
        <v>69</v>
      </c>
      <c r="H11" s="14">
        <v>46132</v>
      </c>
      <c r="I11" s="15">
        <v>175450</v>
      </c>
      <c r="J11" s="6" t="s">
        <v>70</v>
      </c>
      <c r="K11" s="6" t="s">
        <v>71</v>
      </c>
      <c r="L11" s="6"/>
      <c r="M11" s="6" t="s">
        <v>72</v>
      </c>
      <c r="N11" s="16" t="s">
        <v>105</v>
      </c>
      <c r="O11" s="6" t="s">
        <v>74</v>
      </c>
      <c r="P11" s="6" t="s">
        <v>58</v>
      </c>
      <c r="Q11" s="6" t="s">
        <v>18</v>
      </c>
      <c r="R11" s="6" t="s">
        <v>59</v>
      </c>
      <c r="S11" s="6"/>
      <c r="T11" s="14"/>
      <c r="U11" s="17"/>
    </row>
    <row r="12" spans="1:21" ht="45" customHeight="1">
      <c r="A12" s="12">
        <v>11</v>
      </c>
      <c r="B12" s="6" t="s">
        <v>60</v>
      </c>
      <c r="C12" s="6" t="s">
        <v>9</v>
      </c>
      <c r="D12" s="6" t="s">
        <v>106</v>
      </c>
      <c r="E12" s="13" t="s">
        <v>107</v>
      </c>
      <c r="F12" s="6">
        <v>56527536</v>
      </c>
      <c r="G12" s="6" t="s">
        <v>77</v>
      </c>
      <c r="H12" s="14">
        <v>46132</v>
      </c>
      <c r="I12" s="15">
        <v>12100</v>
      </c>
      <c r="J12" s="6"/>
      <c r="K12" s="6"/>
      <c r="L12" s="6"/>
      <c r="M12" s="6" t="s">
        <v>64</v>
      </c>
      <c r="N12" s="16" t="s">
        <v>108</v>
      </c>
      <c r="O12" s="6" t="s">
        <v>66</v>
      </c>
      <c r="P12" s="6" t="s">
        <v>58</v>
      </c>
      <c r="Q12" s="6" t="s">
        <v>18</v>
      </c>
      <c r="R12" s="6" t="s">
        <v>59</v>
      </c>
      <c r="S12" s="6"/>
      <c r="T12" s="14"/>
      <c r="U12" s="17"/>
    </row>
    <row r="13" spans="1:21" ht="45" customHeight="1">
      <c r="A13" s="12">
        <v>12</v>
      </c>
      <c r="B13" s="6" t="s">
        <v>60</v>
      </c>
      <c r="C13" s="6" t="s">
        <v>9</v>
      </c>
      <c r="D13" s="6" t="s">
        <v>109</v>
      </c>
      <c r="E13" s="13" t="s">
        <v>110</v>
      </c>
      <c r="F13" s="6">
        <v>56527556</v>
      </c>
      <c r="G13" s="6" t="s">
        <v>86</v>
      </c>
      <c r="H13" s="14">
        <v>46132</v>
      </c>
      <c r="I13" s="15">
        <v>108900</v>
      </c>
      <c r="J13" s="6"/>
      <c r="K13" s="6"/>
      <c r="L13" s="6"/>
      <c r="M13" s="6" t="s">
        <v>64</v>
      </c>
      <c r="N13" s="16" t="s">
        <v>111</v>
      </c>
      <c r="O13" s="6" t="s">
        <v>66</v>
      </c>
      <c r="P13" s="6" t="s">
        <v>58</v>
      </c>
      <c r="Q13" s="6" t="s">
        <v>18</v>
      </c>
      <c r="R13" s="6" t="s">
        <v>59</v>
      </c>
      <c r="S13" s="6"/>
      <c r="T13" s="14"/>
      <c r="U13" s="17"/>
    </row>
    <row r="14" spans="1:21" ht="45" customHeight="1">
      <c r="A14" s="12">
        <v>13</v>
      </c>
      <c r="B14" s="6" t="s">
        <v>60</v>
      </c>
      <c r="C14" s="6" t="s">
        <v>9</v>
      </c>
      <c r="D14" s="6" t="s">
        <v>112</v>
      </c>
      <c r="E14" s="13" t="s">
        <v>113</v>
      </c>
      <c r="F14" s="6">
        <v>56647918</v>
      </c>
      <c r="G14" s="6" t="s">
        <v>114</v>
      </c>
      <c r="H14" s="14">
        <v>46132</v>
      </c>
      <c r="I14" s="15">
        <v>5181000</v>
      </c>
      <c r="J14" s="6"/>
      <c r="K14" s="6"/>
      <c r="L14" s="6"/>
      <c r="M14" s="6" t="s">
        <v>82</v>
      </c>
      <c r="N14" s="16" t="s">
        <v>115</v>
      </c>
      <c r="O14" s="6" t="s">
        <v>66</v>
      </c>
      <c r="P14" s="6" t="s">
        <v>58</v>
      </c>
      <c r="Q14" s="6" t="s">
        <v>18</v>
      </c>
      <c r="R14" s="6" t="s">
        <v>59</v>
      </c>
      <c r="S14" s="6"/>
      <c r="T14" s="14"/>
      <c r="U14" s="17"/>
    </row>
    <row r="15" spans="1:21" ht="45" customHeight="1">
      <c r="A15" s="12">
        <v>14</v>
      </c>
      <c r="B15" s="6" t="s">
        <v>60</v>
      </c>
      <c r="C15" s="6" t="s">
        <v>8</v>
      </c>
      <c r="D15" s="6" t="s">
        <v>116</v>
      </c>
      <c r="E15" s="13" t="s">
        <v>117</v>
      </c>
      <c r="F15" s="6">
        <v>56676178</v>
      </c>
      <c r="G15" s="6" t="s">
        <v>118</v>
      </c>
      <c r="H15" s="14">
        <v>46132</v>
      </c>
      <c r="I15" s="15">
        <v>105600</v>
      </c>
      <c r="J15" s="6" t="s">
        <v>119</v>
      </c>
      <c r="K15" s="6" t="s">
        <v>120</v>
      </c>
      <c r="L15" s="6"/>
      <c r="M15" s="6" t="s">
        <v>72</v>
      </c>
      <c r="N15" s="16" t="s">
        <v>121</v>
      </c>
      <c r="O15" s="6" t="s">
        <v>74</v>
      </c>
      <c r="P15" s="6" t="s">
        <v>58</v>
      </c>
      <c r="Q15" s="6" t="s">
        <v>18</v>
      </c>
      <c r="R15" s="6" t="s">
        <v>59</v>
      </c>
      <c r="S15" s="6"/>
      <c r="T15" s="14"/>
      <c r="U15" s="17"/>
    </row>
    <row r="16" spans="1:21" ht="45" customHeight="1">
      <c r="A16" s="12">
        <v>15</v>
      </c>
      <c r="B16" s="6" t="s">
        <v>60</v>
      </c>
      <c r="C16" s="6" t="s">
        <v>8</v>
      </c>
      <c r="D16" s="6" t="s">
        <v>122</v>
      </c>
      <c r="E16" s="13" t="s">
        <v>123</v>
      </c>
      <c r="F16" s="6">
        <v>56678351</v>
      </c>
      <c r="G16" s="6" t="s">
        <v>124</v>
      </c>
      <c r="H16" s="14">
        <v>46132</v>
      </c>
      <c r="I16" s="15">
        <v>14080</v>
      </c>
      <c r="J16" s="6" t="s">
        <v>125</v>
      </c>
      <c r="K16" s="6" t="s">
        <v>126</v>
      </c>
      <c r="L16" s="6"/>
      <c r="M16" s="6" t="s">
        <v>93</v>
      </c>
      <c r="N16" s="16" t="s">
        <v>127</v>
      </c>
      <c r="O16" s="6" t="s">
        <v>95</v>
      </c>
      <c r="P16" s="6" t="s">
        <v>58</v>
      </c>
      <c r="Q16" s="6" t="s">
        <v>18</v>
      </c>
      <c r="R16" s="6" t="s">
        <v>59</v>
      </c>
      <c r="S16" s="6"/>
      <c r="T16" s="14"/>
      <c r="U16" s="17"/>
    </row>
    <row r="17" spans="1:21" ht="45" customHeight="1">
      <c r="A17" s="12">
        <v>16</v>
      </c>
      <c r="B17" s="6" t="s">
        <v>60</v>
      </c>
      <c r="C17" s="6" t="s">
        <v>8</v>
      </c>
      <c r="D17" s="6" t="s">
        <v>128</v>
      </c>
      <c r="E17" s="13" t="s">
        <v>129</v>
      </c>
      <c r="F17" s="6">
        <v>56678813</v>
      </c>
      <c r="G17" s="6" t="s">
        <v>124</v>
      </c>
      <c r="H17" s="14">
        <v>46132</v>
      </c>
      <c r="I17" s="15">
        <v>7040</v>
      </c>
      <c r="J17" s="6" t="s">
        <v>125</v>
      </c>
      <c r="K17" s="6" t="s">
        <v>126</v>
      </c>
      <c r="L17" s="6"/>
      <c r="M17" s="6" t="s">
        <v>93</v>
      </c>
      <c r="N17" s="16" t="s">
        <v>130</v>
      </c>
      <c r="O17" s="6" t="s">
        <v>95</v>
      </c>
      <c r="P17" s="6" t="s">
        <v>58</v>
      </c>
      <c r="Q17" s="6" t="s">
        <v>18</v>
      </c>
      <c r="R17" s="6" t="s">
        <v>59</v>
      </c>
      <c r="S17" s="6"/>
      <c r="T17" s="14"/>
      <c r="U17" s="17"/>
    </row>
    <row r="18" spans="1:21" ht="45" customHeight="1">
      <c r="A18" s="12">
        <v>17</v>
      </c>
      <c r="B18" s="6" t="s">
        <v>60</v>
      </c>
      <c r="C18" s="6" t="s">
        <v>9</v>
      </c>
      <c r="D18" s="6" t="s">
        <v>131</v>
      </c>
      <c r="E18" s="13" t="s">
        <v>132</v>
      </c>
      <c r="F18" s="6">
        <v>56681536</v>
      </c>
      <c r="G18" s="6" t="s">
        <v>133</v>
      </c>
      <c r="H18" s="14">
        <v>46132</v>
      </c>
      <c r="I18" s="15">
        <v>1716000</v>
      </c>
      <c r="J18" s="6"/>
      <c r="K18" s="6"/>
      <c r="L18" s="6"/>
      <c r="M18" s="6" t="s">
        <v>82</v>
      </c>
      <c r="N18" s="16" t="s">
        <v>134</v>
      </c>
      <c r="O18" s="6" t="s">
        <v>66</v>
      </c>
      <c r="P18" s="6" t="s">
        <v>58</v>
      </c>
      <c r="Q18" s="6" t="s">
        <v>18</v>
      </c>
      <c r="R18" s="6" t="s">
        <v>59</v>
      </c>
      <c r="S18" s="6"/>
      <c r="T18" s="14"/>
      <c r="U18" s="17"/>
    </row>
    <row r="19" spans="1:21" ht="45" customHeight="1">
      <c r="A19" s="12">
        <v>18</v>
      </c>
      <c r="B19" s="6" t="s">
        <v>60</v>
      </c>
      <c r="C19" s="6" t="s">
        <v>9</v>
      </c>
      <c r="D19" s="6" t="s">
        <v>135</v>
      </c>
      <c r="E19" s="13" t="s">
        <v>136</v>
      </c>
      <c r="F19" s="6">
        <v>56685582</v>
      </c>
      <c r="G19" s="6" t="s">
        <v>137</v>
      </c>
      <c r="H19" s="14">
        <v>46132</v>
      </c>
      <c r="I19" s="15">
        <v>676500</v>
      </c>
      <c r="J19" s="6"/>
      <c r="K19" s="6"/>
      <c r="L19" s="6"/>
      <c r="M19" s="6" t="s">
        <v>138</v>
      </c>
      <c r="N19" s="16" t="s">
        <v>139</v>
      </c>
      <c r="O19" s="6" t="s">
        <v>66</v>
      </c>
      <c r="P19" s="6" t="s">
        <v>58</v>
      </c>
      <c r="Q19" s="6" t="s">
        <v>18</v>
      </c>
      <c r="R19" s="6" t="s">
        <v>59</v>
      </c>
      <c r="S19" s="6"/>
      <c r="T19" s="14"/>
      <c r="U19" s="17"/>
    </row>
    <row r="20" spans="1:21" ht="45" customHeight="1">
      <c r="A20" s="12">
        <v>19</v>
      </c>
      <c r="B20" s="6" t="s">
        <v>60</v>
      </c>
      <c r="C20" s="6" t="s">
        <v>9</v>
      </c>
      <c r="D20" s="6" t="s">
        <v>140</v>
      </c>
      <c r="E20" s="13" t="s">
        <v>141</v>
      </c>
      <c r="F20" s="6">
        <v>56693657</v>
      </c>
      <c r="G20" s="6" t="s">
        <v>142</v>
      </c>
      <c r="H20" s="14">
        <v>46132</v>
      </c>
      <c r="I20" s="15">
        <v>924000</v>
      </c>
      <c r="J20" s="6"/>
      <c r="K20" s="6"/>
      <c r="L20" s="6"/>
      <c r="M20" s="6" t="s">
        <v>82</v>
      </c>
      <c r="N20" s="16" t="s">
        <v>143</v>
      </c>
      <c r="O20" s="6" t="s">
        <v>66</v>
      </c>
      <c r="P20" s="6" t="s">
        <v>58</v>
      </c>
      <c r="Q20" s="6" t="s">
        <v>18</v>
      </c>
      <c r="R20" s="6" t="s">
        <v>59</v>
      </c>
      <c r="S20" s="6"/>
      <c r="T20" s="14"/>
      <c r="U20" s="17"/>
    </row>
    <row r="21" spans="1:21" ht="45" customHeight="1">
      <c r="A21" s="12">
        <v>20</v>
      </c>
      <c r="B21" s="6" t="s">
        <v>60</v>
      </c>
      <c r="C21" s="6" t="s">
        <v>9</v>
      </c>
      <c r="D21" s="6" t="s">
        <v>144</v>
      </c>
      <c r="E21" s="13" t="s">
        <v>145</v>
      </c>
      <c r="F21" s="6">
        <v>56697026</v>
      </c>
      <c r="G21" s="6" t="s">
        <v>142</v>
      </c>
      <c r="H21" s="14">
        <v>46132</v>
      </c>
      <c r="I21" s="15">
        <v>1293600</v>
      </c>
      <c r="J21" s="6"/>
      <c r="K21" s="6"/>
      <c r="L21" s="6"/>
      <c r="M21" s="6" t="s">
        <v>82</v>
      </c>
      <c r="N21" s="16" t="s">
        <v>143</v>
      </c>
      <c r="O21" s="6" t="s">
        <v>66</v>
      </c>
      <c r="P21" s="6" t="s">
        <v>58</v>
      </c>
      <c r="Q21" s="6" t="s">
        <v>18</v>
      </c>
      <c r="R21" s="6" t="s">
        <v>59</v>
      </c>
      <c r="S21" s="6"/>
      <c r="T21" s="14"/>
      <c r="U21" s="17"/>
    </row>
    <row r="22" spans="1:21" ht="45" customHeight="1">
      <c r="A22" s="12">
        <v>21</v>
      </c>
      <c r="B22" s="6" t="s">
        <v>60</v>
      </c>
      <c r="C22" s="6" t="s">
        <v>9</v>
      </c>
      <c r="D22" s="6" t="s">
        <v>146</v>
      </c>
      <c r="E22" s="13" t="s">
        <v>147</v>
      </c>
      <c r="F22" s="6">
        <v>56698344</v>
      </c>
      <c r="G22" s="6" t="s">
        <v>142</v>
      </c>
      <c r="H22" s="14">
        <v>46132</v>
      </c>
      <c r="I22" s="15">
        <v>554400</v>
      </c>
      <c r="J22" s="6"/>
      <c r="K22" s="6"/>
      <c r="L22" s="6"/>
      <c r="M22" s="6" t="s">
        <v>82</v>
      </c>
      <c r="N22" s="16" t="s">
        <v>143</v>
      </c>
      <c r="O22" s="6" t="s">
        <v>66</v>
      </c>
      <c r="P22" s="6" t="s">
        <v>58</v>
      </c>
      <c r="Q22" s="6" t="s">
        <v>18</v>
      </c>
      <c r="R22" s="6" t="s">
        <v>59</v>
      </c>
      <c r="S22" s="6"/>
      <c r="T22" s="14"/>
      <c r="U22" s="17"/>
    </row>
    <row r="23" spans="1:21" ht="45" customHeight="1">
      <c r="A23" s="12">
        <v>22</v>
      </c>
      <c r="B23" s="6" t="s">
        <v>60</v>
      </c>
      <c r="C23" s="6" t="s">
        <v>9</v>
      </c>
      <c r="D23" s="6" t="s">
        <v>148</v>
      </c>
      <c r="E23" s="13" t="s">
        <v>149</v>
      </c>
      <c r="F23" s="6">
        <v>58573614</v>
      </c>
      <c r="G23" s="6" t="s">
        <v>63</v>
      </c>
      <c r="H23" s="14">
        <v>46162</v>
      </c>
      <c r="I23" s="15">
        <v>12100</v>
      </c>
      <c r="J23" s="6"/>
      <c r="K23" s="6"/>
      <c r="L23" s="6"/>
      <c r="M23" s="6" t="s">
        <v>64</v>
      </c>
      <c r="N23" s="16" t="s">
        <v>150</v>
      </c>
      <c r="O23" s="6" t="s">
        <v>66</v>
      </c>
      <c r="P23" s="6" t="s">
        <v>58</v>
      </c>
      <c r="Q23" s="6" t="s">
        <v>18</v>
      </c>
      <c r="R23" s="6" t="s">
        <v>59</v>
      </c>
      <c r="S23" s="6"/>
      <c r="T23" s="14"/>
      <c r="U23" s="17"/>
    </row>
    <row r="24" spans="1:21" ht="45" customHeight="1">
      <c r="A24" s="12">
        <v>23</v>
      </c>
      <c r="B24" s="6" t="s">
        <v>60</v>
      </c>
      <c r="C24" s="6" t="s">
        <v>8</v>
      </c>
      <c r="D24" s="6" t="s">
        <v>151</v>
      </c>
      <c r="E24" s="13" t="s">
        <v>152</v>
      </c>
      <c r="F24" s="6">
        <v>58573616</v>
      </c>
      <c r="G24" s="6" t="s">
        <v>69</v>
      </c>
      <c r="H24" s="14">
        <v>46162</v>
      </c>
      <c r="I24" s="15">
        <v>175450</v>
      </c>
      <c r="J24" s="6" t="s">
        <v>70</v>
      </c>
      <c r="K24" s="6" t="s">
        <v>71</v>
      </c>
      <c r="L24" s="6"/>
      <c r="M24" s="6" t="s">
        <v>72</v>
      </c>
      <c r="N24" s="16" t="s">
        <v>105</v>
      </c>
      <c r="O24" s="6" t="s">
        <v>74</v>
      </c>
      <c r="P24" s="6" t="s">
        <v>58</v>
      </c>
      <c r="Q24" s="6" t="s">
        <v>18</v>
      </c>
      <c r="R24" s="6" t="s">
        <v>59</v>
      </c>
      <c r="S24" s="6"/>
      <c r="T24" s="14"/>
      <c r="U24" s="17"/>
    </row>
    <row r="25" spans="1:21" ht="45" customHeight="1">
      <c r="A25" s="12">
        <v>24</v>
      </c>
      <c r="B25" s="6" t="s">
        <v>60</v>
      </c>
      <c r="C25" s="6" t="s">
        <v>9</v>
      </c>
      <c r="D25" s="6" t="s">
        <v>153</v>
      </c>
      <c r="E25" s="13" t="s">
        <v>154</v>
      </c>
      <c r="F25" s="6">
        <v>58573621</v>
      </c>
      <c r="G25" s="6" t="s">
        <v>77</v>
      </c>
      <c r="H25" s="14">
        <v>46162</v>
      </c>
      <c r="I25" s="15">
        <v>12100</v>
      </c>
      <c r="J25" s="6"/>
      <c r="K25" s="6"/>
      <c r="L25" s="6"/>
      <c r="M25" s="6" t="s">
        <v>64</v>
      </c>
      <c r="N25" s="16" t="s">
        <v>155</v>
      </c>
      <c r="O25" s="6" t="s">
        <v>66</v>
      </c>
      <c r="P25" s="6" t="s">
        <v>58</v>
      </c>
      <c r="Q25" s="6" t="s">
        <v>18</v>
      </c>
      <c r="R25" s="6" t="s">
        <v>59</v>
      </c>
      <c r="S25" s="6"/>
      <c r="T25" s="14"/>
      <c r="U25" s="17"/>
    </row>
    <row r="26" spans="1:21" ht="45" customHeight="1">
      <c r="A26" s="12">
        <v>25</v>
      </c>
      <c r="B26" s="6" t="s">
        <v>60</v>
      </c>
      <c r="C26" s="6" t="s">
        <v>9</v>
      </c>
      <c r="D26" s="6" t="s">
        <v>156</v>
      </c>
      <c r="E26" s="13" t="s">
        <v>157</v>
      </c>
      <c r="F26" s="6">
        <v>58573648</v>
      </c>
      <c r="G26" s="6" t="s">
        <v>86</v>
      </c>
      <c r="H26" s="14">
        <v>46162</v>
      </c>
      <c r="I26" s="15">
        <v>108900</v>
      </c>
      <c r="J26" s="6"/>
      <c r="K26" s="6"/>
      <c r="L26" s="6"/>
      <c r="M26" s="6" t="s">
        <v>64</v>
      </c>
      <c r="N26" s="16" t="s">
        <v>158</v>
      </c>
      <c r="O26" s="6" t="s">
        <v>66</v>
      </c>
      <c r="P26" s="6" t="s">
        <v>58</v>
      </c>
      <c r="Q26" s="6" t="s">
        <v>18</v>
      </c>
      <c r="R26" s="6" t="s">
        <v>59</v>
      </c>
      <c r="S26" s="6"/>
      <c r="T26" s="14"/>
      <c r="U26" s="17"/>
    </row>
    <row r="27" spans="1:21" ht="45" customHeight="1">
      <c r="A27" s="12">
        <v>26</v>
      </c>
      <c r="B27" s="6" t="s">
        <v>60</v>
      </c>
      <c r="C27" s="6" t="s">
        <v>8</v>
      </c>
      <c r="D27" s="6" t="s">
        <v>159</v>
      </c>
      <c r="E27" s="13" t="s">
        <v>160</v>
      </c>
      <c r="F27" s="6">
        <v>58690508</v>
      </c>
      <c r="G27" s="6" t="s">
        <v>124</v>
      </c>
      <c r="H27" s="14">
        <v>46162</v>
      </c>
      <c r="I27" s="15">
        <v>42240</v>
      </c>
      <c r="J27" s="6" t="s">
        <v>125</v>
      </c>
      <c r="K27" s="6" t="s">
        <v>126</v>
      </c>
      <c r="L27" s="6"/>
      <c r="M27" s="6" t="s">
        <v>93</v>
      </c>
      <c r="N27" s="16" t="s">
        <v>161</v>
      </c>
      <c r="O27" s="6" t="s">
        <v>95</v>
      </c>
      <c r="P27" s="6" t="s">
        <v>58</v>
      </c>
      <c r="Q27" s="6" t="s">
        <v>18</v>
      </c>
      <c r="R27" s="6" t="s">
        <v>59</v>
      </c>
      <c r="S27" s="6"/>
      <c r="T27" s="14"/>
      <c r="U27" s="17"/>
    </row>
    <row r="28" spans="1:21" ht="45" customHeight="1">
      <c r="A28" s="12">
        <v>27</v>
      </c>
      <c r="B28" s="6" t="s">
        <v>60</v>
      </c>
      <c r="C28" s="6" t="s">
        <v>8</v>
      </c>
      <c r="D28" s="6" t="s">
        <v>162</v>
      </c>
      <c r="E28" s="13" t="s">
        <v>163</v>
      </c>
      <c r="F28" s="6">
        <v>58690758</v>
      </c>
      <c r="G28" s="6" t="s">
        <v>124</v>
      </c>
      <c r="H28" s="14">
        <v>46162</v>
      </c>
      <c r="I28" s="15">
        <v>14080</v>
      </c>
      <c r="J28" s="6" t="s">
        <v>125</v>
      </c>
      <c r="K28" s="6" t="s">
        <v>126</v>
      </c>
      <c r="L28" s="6"/>
      <c r="M28" s="6" t="s">
        <v>93</v>
      </c>
      <c r="N28" s="16" t="s">
        <v>164</v>
      </c>
      <c r="O28" s="6" t="s">
        <v>95</v>
      </c>
      <c r="P28" s="6" t="s">
        <v>58</v>
      </c>
      <c r="Q28" s="6" t="s">
        <v>18</v>
      </c>
      <c r="R28" s="6" t="s">
        <v>59</v>
      </c>
      <c r="S28" s="6"/>
      <c r="T28" s="14"/>
      <c r="U28" s="17"/>
    </row>
    <row r="29" spans="1:21" ht="45" customHeight="1">
      <c r="A29" s="12">
        <v>28</v>
      </c>
      <c r="B29" s="6" t="s">
        <v>60</v>
      </c>
      <c r="C29" s="6" t="s">
        <v>8</v>
      </c>
      <c r="D29" s="6" t="s">
        <v>165</v>
      </c>
      <c r="E29" s="13" t="s">
        <v>166</v>
      </c>
      <c r="F29" s="6">
        <v>58709686</v>
      </c>
      <c r="G29" s="6" t="s">
        <v>167</v>
      </c>
      <c r="H29" s="14">
        <v>46162</v>
      </c>
      <c r="I29" s="15">
        <v>1848000</v>
      </c>
      <c r="J29" s="6" t="s">
        <v>168</v>
      </c>
      <c r="K29" s="6" t="s">
        <v>169</v>
      </c>
      <c r="L29" s="6"/>
      <c r="M29" s="6" t="s">
        <v>72</v>
      </c>
      <c r="N29" s="16" t="s">
        <v>170</v>
      </c>
      <c r="O29" s="6" t="s">
        <v>74</v>
      </c>
      <c r="P29" s="6" t="s">
        <v>58</v>
      </c>
      <c r="Q29" s="6" t="s">
        <v>18</v>
      </c>
      <c r="R29" s="6" t="s">
        <v>59</v>
      </c>
      <c r="S29" s="6"/>
      <c r="T29" s="14"/>
      <c r="U29" s="17"/>
    </row>
    <row r="30" spans="1:21" ht="45" customHeight="1">
      <c r="A30" s="12">
        <v>29</v>
      </c>
      <c r="B30" s="6" t="s">
        <v>60</v>
      </c>
      <c r="C30" s="6" t="s">
        <v>9</v>
      </c>
      <c r="D30" s="6" t="s">
        <v>171</v>
      </c>
      <c r="E30" s="13" t="s">
        <v>172</v>
      </c>
      <c r="F30" s="6">
        <v>58711460</v>
      </c>
      <c r="G30" s="6" t="s">
        <v>137</v>
      </c>
      <c r="H30" s="14">
        <v>46162</v>
      </c>
      <c r="I30" s="15">
        <v>291500</v>
      </c>
      <c r="J30" s="6"/>
      <c r="K30" s="6"/>
      <c r="L30" s="6"/>
      <c r="M30" s="6" t="s">
        <v>138</v>
      </c>
      <c r="N30" s="16" t="s">
        <v>173</v>
      </c>
      <c r="O30" s="6" t="s">
        <v>66</v>
      </c>
      <c r="P30" s="6" t="s">
        <v>58</v>
      </c>
      <c r="Q30" s="6" t="s">
        <v>18</v>
      </c>
      <c r="R30" s="6" t="s">
        <v>59</v>
      </c>
      <c r="S30" s="6"/>
      <c r="T30" s="14"/>
      <c r="U30" s="17"/>
    </row>
    <row r="31" spans="1:21" ht="45" customHeight="1">
      <c r="A31" s="12">
        <v>30</v>
      </c>
      <c r="B31" s="6" t="s">
        <v>60</v>
      </c>
      <c r="C31" s="6" t="s">
        <v>8</v>
      </c>
      <c r="D31" s="6" t="s">
        <v>174</v>
      </c>
      <c r="E31" s="13" t="s">
        <v>175</v>
      </c>
      <c r="F31" s="6">
        <v>58712318</v>
      </c>
      <c r="G31" s="6" t="s">
        <v>176</v>
      </c>
      <c r="H31" s="14">
        <v>46162</v>
      </c>
      <c r="I31" s="15">
        <v>105600</v>
      </c>
      <c r="J31" s="6" t="s">
        <v>177</v>
      </c>
      <c r="K31" s="6" t="s">
        <v>178</v>
      </c>
      <c r="L31" s="6"/>
      <c r="M31" s="6" t="s">
        <v>72</v>
      </c>
      <c r="N31" s="16" t="s">
        <v>179</v>
      </c>
      <c r="O31" s="6" t="s">
        <v>74</v>
      </c>
      <c r="P31" s="6" t="s">
        <v>58</v>
      </c>
      <c r="Q31" s="6" t="s">
        <v>18</v>
      </c>
      <c r="R31" s="6" t="s">
        <v>59</v>
      </c>
      <c r="S31" s="6"/>
      <c r="T31" s="14"/>
      <c r="U31" s="17"/>
    </row>
    <row r="32" spans="1:21" ht="45" customHeight="1">
      <c r="A32" s="12">
        <v>31</v>
      </c>
      <c r="B32" s="6" t="s">
        <v>60</v>
      </c>
      <c r="C32" s="6" t="s">
        <v>7</v>
      </c>
      <c r="D32" s="6" t="s">
        <v>180</v>
      </c>
      <c r="E32" s="13" t="s">
        <v>181</v>
      </c>
      <c r="F32" s="6">
        <v>58733986</v>
      </c>
      <c r="G32" s="6" t="s">
        <v>182</v>
      </c>
      <c r="H32" s="14">
        <v>46163</v>
      </c>
      <c r="I32" s="15">
        <v>33000</v>
      </c>
      <c r="J32" s="6"/>
      <c r="K32" s="6"/>
      <c r="L32" s="6"/>
      <c r="M32" s="6" t="s">
        <v>183</v>
      </c>
      <c r="N32" s="16" t="s">
        <v>184</v>
      </c>
      <c r="O32" s="6" t="s">
        <v>66</v>
      </c>
      <c r="P32" s="6" t="s">
        <v>58</v>
      </c>
      <c r="Q32" s="6" t="s">
        <v>18</v>
      </c>
      <c r="R32" s="6" t="s">
        <v>59</v>
      </c>
      <c r="S32" s="6"/>
      <c r="T32" s="14"/>
      <c r="U32" s="17"/>
    </row>
    <row r="33" spans="1:21" ht="45" customHeight="1">
      <c r="A33" s="12">
        <v>32</v>
      </c>
      <c r="B33" s="6" t="s">
        <v>60</v>
      </c>
      <c r="C33" s="6" t="s">
        <v>7</v>
      </c>
      <c r="D33" s="6" t="s">
        <v>185</v>
      </c>
      <c r="E33" s="13" t="s">
        <v>186</v>
      </c>
      <c r="F33" s="6">
        <v>58810995</v>
      </c>
      <c r="G33" s="6" t="s">
        <v>187</v>
      </c>
      <c r="H33" s="14">
        <v>46192</v>
      </c>
      <c r="I33" s="15">
        <v>33000</v>
      </c>
      <c r="J33" s="6"/>
      <c r="K33" s="6"/>
      <c r="L33" s="6"/>
      <c r="M33" s="6" t="s">
        <v>183</v>
      </c>
      <c r="N33" s="16" t="s">
        <v>188</v>
      </c>
      <c r="O33" s="6" t="s">
        <v>66</v>
      </c>
      <c r="P33" s="6" t="s">
        <v>58</v>
      </c>
      <c r="Q33" s="6" t="s">
        <v>18</v>
      </c>
      <c r="R33" s="6" t="s">
        <v>59</v>
      </c>
      <c r="S33" s="6"/>
      <c r="T33" s="14"/>
      <c r="U33" s="17"/>
    </row>
    <row r="34" spans="1:21" ht="45" customHeight="1">
      <c r="A34" s="12">
        <v>33</v>
      </c>
      <c r="B34" s="6" t="s">
        <v>48</v>
      </c>
      <c r="C34" s="6" t="s">
        <v>12</v>
      </c>
      <c r="D34" s="6" t="s">
        <v>189</v>
      </c>
      <c r="E34" s="13" t="s">
        <v>190</v>
      </c>
      <c r="F34" s="6">
        <v>59151137</v>
      </c>
      <c r="G34" s="6" t="s">
        <v>191</v>
      </c>
      <c r="H34" s="14">
        <v>46192</v>
      </c>
      <c r="I34" s="15">
        <v>52800</v>
      </c>
      <c r="J34" s="6" t="s">
        <v>192</v>
      </c>
      <c r="K34" s="6" t="s">
        <v>193</v>
      </c>
      <c r="L34" s="6" t="s">
        <v>194</v>
      </c>
      <c r="M34" s="6" t="s">
        <v>195</v>
      </c>
      <c r="N34" s="16" t="s">
        <v>196</v>
      </c>
      <c r="O34" s="6" t="s">
        <v>57</v>
      </c>
      <c r="P34" s="6" t="s">
        <v>58</v>
      </c>
      <c r="Q34" s="6" t="s">
        <v>18</v>
      </c>
      <c r="R34" s="6" t="s">
        <v>59</v>
      </c>
      <c r="S34" s="6"/>
      <c r="T34" s="14"/>
      <c r="U34" s="17"/>
    </row>
    <row r="35" spans="1:21" ht="45" customHeight="1">
      <c r="A35" s="12">
        <v>34</v>
      </c>
      <c r="B35" s="6" t="s">
        <v>60</v>
      </c>
      <c r="C35" s="6" t="s">
        <v>8</v>
      </c>
      <c r="D35" s="6" t="s">
        <v>197</v>
      </c>
      <c r="E35" s="13" t="s">
        <v>198</v>
      </c>
      <c r="F35" s="6">
        <v>60861161</v>
      </c>
      <c r="G35" s="6" t="s">
        <v>69</v>
      </c>
      <c r="H35" s="14">
        <v>46193</v>
      </c>
      <c r="I35" s="15">
        <v>175450</v>
      </c>
      <c r="J35" s="6" t="s">
        <v>70</v>
      </c>
      <c r="K35" s="6" t="s">
        <v>71</v>
      </c>
      <c r="L35" s="6"/>
      <c r="M35" s="6" t="s">
        <v>72</v>
      </c>
      <c r="N35" s="16" t="s">
        <v>105</v>
      </c>
      <c r="O35" s="6" t="s">
        <v>74</v>
      </c>
      <c r="P35" s="6" t="s">
        <v>58</v>
      </c>
      <c r="Q35" s="6" t="s">
        <v>18</v>
      </c>
      <c r="R35" s="6" t="s">
        <v>59</v>
      </c>
      <c r="S35" s="6"/>
      <c r="T35" s="14"/>
      <c r="U35" s="17"/>
    </row>
    <row r="36" spans="1:21" ht="45" customHeight="1">
      <c r="A36" s="12">
        <v>35</v>
      </c>
      <c r="B36" s="6" t="s">
        <v>60</v>
      </c>
      <c r="C36" s="6" t="s">
        <v>7</v>
      </c>
      <c r="D36" s="6" t="s">
        <v>199</v>
      </c>
      <c r="E36" s="13" t="s">
        <v>200</v>
      </c>
      <c r="F36" s="6">
        <v>60861173</v>
      </c>
      <c r="G36" s="6" t="s">
        <v>201</v>
      </c>
      <c r="H36" s="14">
        <v>46193</v>
      </c>
      <c r="I36" s="15">
        <v>181500</v>
      </c>
      <c r="J36" s="6"/>
      <c r="K36" s="6"/>
      <c r="L36" s="6"/>
      <c r="M36" s="6" t="s">
        <v>183</v>
      </c>
      <c r="N36" s="16" t="s">
        <v>202</v>
      </c>
      <c r="O36" s="6" t="s">
        <v>66</v>
      </c>
      <c r="P36" s="6" t="s">
        <v>58</v>
      </c>
      <c r="Q36" s="6" t="s">
        <v>18</v>
      </c>
      <c r="R36" s="6" t="s">
        <v>59</v>
      </c>
      <c r="S36" s="6"/>
      <c r="T36" s="14"/>
      <c r="U36" s="17"/>
    </row>
    <row r="37" spans="1:21" ht="45" customHeight="1">
      <c r="A37" s="12">
        <v>36</v>
      </c>
      <c r="B37" s="6" t="s">
        <v>60</v>
      </c>
      <c r="C37" s="6" t="s">
        <v>8</v>
      </c>
      <c r="D37" s="6" t="s">
        <v>203</v>
      </c>
      <c r="E37" s="13" t="s">
        <v>204</v>
      </c>
      <c r="F37" s="6">
        <v>60906771</v>
      </c>
      <c r="G37" s="6" t="s">
        <v>205</v>
      </c>
      <c r="H37" s="14">
        <v>46193</v>
      </c>
      <c r="I37" s="15">
        <v>924000</v>
      </c>
      <c r="J37" s="6" t="s">
        <v>206</v>
      </c>
      <c r="K37" s="6" t="s">
        <v>207</v>
      </c>
      <c r="L37" s="6"/>
      <c r="M37" s="6" t="s">
        <v>72</v>
      </c>
      <c r="N37" s="16" t="s">
        <v>170</v>
      </c>
      <c r="O37" s="6" t="s">
        <v>74</v>
      </c>
      <c r="P37" s="6" t="s">
        <v>58</v>
      </c>
      <c r="Q37" s="6" t="s">
        <v>18</v>
      </c>
      <c r="R37" s="6" t="s">
        <v>59</v>
      </c>
      <c r="S37" s="6"/>
      <c r="T37" s="14"/>
      <c r="U37" s="17"/>
    </row>
    <row r="38" spans="1:21" ht="45" customHeight="1">
      <c r="A38" s="12">
        <v>37</v>
      </c>
      <c r="B38" s="6" t="s">
        <v>60</v>
      </c>
      <c r="C38" s="6" t="s">
        <v>9</v>
      </c>
      <c r="D38" s="6" t="s">
        <v>208</v>
      </c>
      <c r="E38" s="13" t="s">
        <v>209</v>
      </c>
      <c r="F38" s="6">
        <v>60907570</v>
      </c>
      <c r="G38" s="6" t="s">
        <v>210</v>
      </c>
      <c r="H38" s="14">
        <v>46193</v>
      </c>
      <c r="I38" s="15">
        <v>1650000</v>
      </c>
      <c r="J38" s="6"/>
      <c r="K38" s="6"/>
      <c r="L38" s="6"/>
      <c r="M38" s="6" t="s">
        <v>82</v>
      </c>
      <c r="N38" s="16" t="s">
        <v>211</v>
      </c>
      <c r="O38" s="6" t="s">
        <v>66</v>
      </c>
      <c r="P38" s="6" t="s">
        <v>58</v>
      </c>
      <c r="Q38" s="6" t="s">
        <v>18</v>
      </c>
      <c r="R38" s="6" t="s">
        <v>59</v>
      </c>
      <c r="S38" s="6"/>
      <c r="T38" s="14"/>
      <c r="U38" s="17"/>
    </row>
    <row r="39" spans="1:21" ht="45" customHeight="1">
      <c r="A39" s="12">
        <v>38</v>
      </c>
      <c r="B39" s="6" t="s">
        <v>60</v>
      </c>
      <c r="C39" s="6" t="s">
        <v>8</v>
      </c>
      <c r="D39" s="6" t="s">
        <v>212</v>
      </c>
      <c r="E39" s="13" t="s">
        <v>213</v>
      </c>
      <c r="F39" s="6">
        <v>60952602</v>
      </c>
      <c r="G39" s="6" t="s">
        <v>214</v>
      </c>
      <c r="H39" s="14">
        <v>46193</v>
      </c>
      <c r="I39" s="15">
        <v>1108800</v>
      </c>
      <c r="J39" s="6" t="s">
        <v>215</v>
      </c>
      <c r="K39" s="6" t="s">
        <v>216</v>
      </c>
      <c r="L39" s="6"/>
      <c r="M39" s="6" t="s">
        <v>72</v>
      </c>
      <c r="N39" s="16" t="s">
        <v>170</v>
      </c>
      <c r="O39" s="6" t="s">
        <v>74</v>
      </c>
      <c r="P39" s="6" t="s">
        <v>58</v>
      </c>
      <c r="Q39" s="6" t="s">
        <v>18</v>
      </c>
      <c r="R39" s="6" t="s">
        <v>59</v>
      </c>
      <c r="S39" s="6"/>
      <c r="T39" s="14"/>
      <c r="U39" s="17"/>
    </row>
    <row r="40" spans="1:21" ht="45" customHeight="1">
      <c r="A40" s="12">
        <v>39</v>
      </c>
      <c r="B40" s="6" t="s">
        <v>60</v>
      </c>
      <c r="C40" s="6" t="s">
        <v>9</v>
      </c>
      <c r="D40" s="6" t="s">
        <v>217</v>
      </c>
      <c r="E40" s="13" t="s">
        <v>218</v>
      </c>
      <c r="F40" s="6">
        <v>61438597</v>
      </c>
      <c r="G40" s="6" t="s">
        <v>219</v>
      </c>
      <c r="H40" s="14">
        <v>46198</v>
      </c>
      <c r="I40" s="15">
        <v>544500</v>
      </c>
      <c r="J40" s="6"/>
      <c r="K40" s="6"/>
      <c r="L40" s="6"/>
      <c r="M40" s="6" t="s">
        <v>82</v>
      </c>
      <c r="N40" s="16" t="s">
        <v>220</v>
      </c>
      <c r="O40" s="6" t="s">
        <v>66</v>
      </c>
      <c r="P40" s="6" t="s">
        <v>58</v>
      </c>
      <c r="Q40" s="6" t="s">
        <v>18</v>
      </c>
      <c r="R40" s="6" t="s">
        <v>59</v>
      </c>
      <c r="S40" s="6"/>
      <c r="T40" s="14"/>
      <c r="U40" s="17"/>
    </row>
    <row r="41" spans="1:21" ht="45" customHeight="1">
      <c r="A41" s="12">
        <v>40</v>
      </c>
      <c r="B41" s="6" t="s">
        <v>60</v>
      </c>
      <c r="C41" s="6" t="s">
        <v>9</v>
      </c>
      <c r="D41" s="6" t="s">
        <v>221</v>
      </c>
      <c r="E41" s="13" t="s">
        <v>222</v>
      </c>
      <c r="F41" s="6">
        <v>61466312</v>
      </c>
      <c r="G41" s="6" t="s">
        <v>223</v>
      </c>
      <c r="H41" s="14">
        <v>46199</v>
      </c>
      <c r="I41" s="15">
        <v>440000</v>
      </c>
      <c r="J41" s="6"/>
      <c r="K41" s="6"/>
      <c r="L41" s="6"/>
      <c r="M41" s="6" t="s">
        <v>82</v>
      </c>
      <c r="N41" s="16" t="s">
        <v>224</v>
      </c>
      <c r="O41" s="6" t="s">
        <v>66</v>
      </c>
      <c r="P41" s="6" t="s">
        <v>58</v>
      </c>
      <c r="Q41" s="6" t="s">
        <v>18</v>
      </c>
      <c r="R41" s="6" t="s">
        <v>59</v>
      </c>
      <c r="S41" s="6"/>
      <c r="T41" s="14"/>
      <c r="U41" s="17"/>
    </row>
    <row r="42" spans="1:21" ht="45" customHeight="1">
      <c r="A42" s="12">
        <v>41</v>
      </c>
      <c r="B42" s="6" t="s">
        <v>60</v>
      </c>
      <c r="C42" s="6" t="s">
        <v>9</v>
      </c>
      <c r="D42" s="6" t="s">
        <v>225</v>
      </c>
      <c r="E42" s="13" t="s">
        <v>226</v>
      </c>
      <c r="F42" s="6">
        <v>61624916</v>
      </c>
      <c r="G42" s="6" t="s">
        <v>227</v>
      </c>
      <c r="H42" s="14">
        <v>46202</v>
      </c>
      <c r="I42" s="15">
        <v>3300000</v>
      </c>
      <c r="J42" s="6"/>
      <c r="K42" s="6"/>
      <c r="L42" s="6"/>
      <c r="M42" s="6" t="s">
        <v>82</v>
      </c>
      <c r="N42" s="16" t="s">
        <v>228</v>
      </c>
      <c r="O42" s="6" t="s">
        <v>66</v>
      </c>
      <c r="P42" s="6" t="s">
        <v>58</v>
      </c>
      <c r="Q42" s="6" t="s">
        <v>18</v>
      </c>
      <c r="R42" s="6" t="s">
        <v>59</v>
      </c>
      <c r="S42" s="6"/>
      <c r="T42" s="14"/>
      <c r="U42" s="17"/>
    </row>
    <row r="43" spans="1:21" ht="45" customHeight="1">
      <c r="A43" s="12">
        <v>42</v>
      </c>
      <c r="B43" s="6" t="s">
        <v>60</v>
      </c>
      <c r="C43" s="6" t="s">
        <v>9</v>
      </c>
      <c r="D43" s="6" t="s">
        <v>229</v>
      </c>
      <c r="E43" s="13" t="s">
        <v>230</v>
      </c>
      <c r="F43" s="6">
        <v>61633340</v>
      </c>
      <c r="G43" s="6" t="s">
        <v>231</v>
      </c>
      <c r="H43" s="14">
        <v>46202</v>
      </c>
      <c r="I43" s="15">
        <v>13624600</v>
      </c>
      <c r="J43" s="6"/>
      <c r="K43" s="6"/>
      <c r="L43" s="6"/>
      <c r="M43" s="6" t="s">
        <v>82</v>
      </c>
      <c r="N43" s="16" t="s">
        <v>232</v>
      </c>
      <c r="O43" s="6" t="s">
        <v>66</v>
      </c>
      <c r="P43" s="6" t="s">
        <v>58</v>
      </c>
      <c r="Q43" s="6" t="s">
        <v>18</v>
      </c>
      <c r="R43" s="6" t="s">
        <v>59</v>
      </c>
      <c r="S43" s="6"/>
      <c r="T43" s="14"/>
      <c r="U43" s="17"/>
    </row>
    <row r="44" spans="1:21" ht="45" customHeight="1">
      <c r="A44" s="12">
        <v>43</v>
      </c>
      <c r="B44" s="6" t="s">
        <v>60</v>
      </c>
      <c r="C44" s="6" t="s">
        <v>9</v>
      </c>
      <c r="D44" s="6" t="s">
        <v>233</v>
      </c>
      <c r="E44" s="13" t="s">
        <v>234</v>
      </c>
      <c r="F44" s="6">
        <v>61633945</v>
      </c>
      <c r="G44" s="6" t="s">
        <v>231</v>
      </c>
      <c r="H44" s="14">
        <v>46202</v>
      </c>
      <c r="I44" s="15">
        <v>3861000</v>
      </c>
      <c r="J44" s="6"/>
      <c r="K44" s="6"/>
      <c r="L44" s="6"/>
      <c r="M44" s="6" t="s">
        <v>82</v>
      </c>
      <c r="N44" s="16" t="s">
        <v>235</v>
      </c>
      <c r="O44" s="6" t="s">
        <v>66</v>
      </c>
      <c r="P44" s="6" t="s">
        <v>58</v>
      </c>
      <c r="Q44" s="6" t="s">
        <v>18</v>
      </c>
      <c r="R44" s="6" t="s">
        <v>59</v>
      </c>
      <c r="S44" s="6"/>
      <c r="T44" s="14"/>
      <c r="U44" s="17"/>
    </row>
    <row r="45" spans="1:21" ht="45" customHeight="1">
      <c r="A45" s="12">
        <v>44</v>
      </c>
      <c r="B45" s="6" t="s">
        <v>60</v>
      </c>
      <c r="C45" s="6" t="s">
        <v>9</v>
      </c>
      <c r="D45" s="6" t="s">
        <v>236</v>
      </c>
      <c r="E45" s="13" t="s">
        <v>237</v>
      </c>
      <c r="F45" s="6">
        <v>62159546</v>
      </c>
      <c r="G45" s="6" t="s">
        <v>238</v>
      </c>
      <c r="H45" s="14">
        <v>46205</v>
      </c>
      <c r="I45" s="15">
        <v>247500</v>
      </c>
      <c r="J45" s="6"/>
      <c r="K45" s="6"/>
      <c r="L45" s="6"/>
      <c r="M45" s="6" t="s">
        <v>82</v>
      </c>
      <c r="N45" s="16" t="s">
        <v>239</v>
      </c>
      <c r="O45" s="6" t="s">
        <v>66</v>
      </c>
      <c r="P45" s="6" t="s">
        <v>58</v>
      </c>
      <c r="Q45" s="6" t="s">
        <v>18</v>
      </c>
      <c r="R45" s="6" t="s">
        <v>59</v>
      </c>
      <c r="S45" s="6"/>
      <c r="T45" s="14"/>
      <c r="U45" s="17"/>
    </row>
    <row r="46" spans="1:21" ht="45" customHeight="1">
      <c r="A46" s="12">
        <v>45</v>
      </c>
      <c r="B46" s="6" t="s">
        <v>60</v>
      </c>
      <c r="C46" s="6" t="s">
        <v>8</v>
      </c>
      <c r="D46" s="6" t="s">
        <v>240</v>
      </c>
      <c r="E46" s="13" t="s">
        <v>241</v>
      </c>
      <c r="F46" s="6">
        <v>62334543</v>
      </c>
      <c r="G46" s="6" t="s">
        <v>205</v>
      </c>
      <c r="H46" s="14">
        <v>46206</v>
      </c>
      <c r="I46" s="15">
        <v>72630</v>
      </c>
      <c r="J46" s="6" t="s">
        <v>206</v>
      </c>
      <c r="K46" s="6" t="s">
        <v>207</v>
      </c>
      <c r="L46" s="6"/>
      <c r="M46" s="6" t="s">
        <v>72</v>
      </c>
      <c r="N46" s="16" t="s">
        <v>242</v>
      </c>
      <c r="O46" s="6" t="s">
        <v>74</v>
      </c>
      <c r="P46" s="6" t="s">
        <v>58</v>
      </c>
      <c r="Q46" s="6" t="s">
        <v>18</v>
      </c>
      <c r="R46" s="6" t="s">
        <v>59</v>
      </c>
      <c r="S46" s="6"/>
      <c r="T46" s="14"/>
      <c r="U46" s="17"/>
    </row>
    <row r="47" spans="1:21" ht="45" customHeight="1">
      <c r="A47" s="12">
        <v>46</v>
      </c>
      <c r="B47" s="6" t="s">
        <v>60</v>
      </c>
      <c r="C47" s="6" t="s">
        <v>9</v>
      </c>
      <c r="D47" s="6" t="s">
        <v>243</v>
      </c>
      <c r="E47" s="13" t="s">
        <v>244</v>
      </c>
      <c r="F47" s="6">
        <v>62557474</v>
      </c>
      <c r="G47" s="6" t="s">
        <v>245</v>
      </c>
      <c r="H47" s="14">
        <v>46210</v>
      </c>
      <c r="I47" s="15">
        <v>127800</v>
      </c>
      <c r="J47" s="6"/>
      <c r="K47" s="6"/>
      <c r="L47" s="6"/>
      <c r="M47" s="6" t="s">
        <v>82</v>
      </c>
      <c r="N47" s="16" t="s">
        <v>246</v>
      </c>
      <c r="O47" s="6" t="s">
        <v>66</v>
      </c>
      <c r="P47" s="6" t="s">
        <v>58</v>
      </c>
      <c r="Q47" s="6" t="s">
        <v>18</v>
      </c>
      <c r="R47" s="6" t="s">
        <v>59</v>
      </c>
      <c r="S47" s="6"/>
      <c r="T47" s="14"/>
      <c r="U47" s="17"/>
    </row>
    <row r="48" spans="1:21" ht="45" customHeight="1">
      <c r="A48" s="12">
        <v>47</v>
      </c>
      <c r="B48" s="6" t="s">
        <v>60</v>
      </c>
      <c r="C48" s="6" t="s">
        <v>9</v>
      </c>
      <c r="D48" s="6" t="s">
        <v>247</v>
      </c>
      <c r="E48" s="13" t="s">
        <v>248</v>
      </c>
      <c r="F48" s="6">
        <v>62989809</v>
      </c>
      <c r="G48" s="6" t="s">
        <v>249</v>
      </c>
      <c r="H48" s="14">
        <v>46217</v>
      </c>
      <c r="I48" s="15">
        <v>495000</v>
      </c>
      <c r="J48" s="6"/>
      <c r="K48" s="6"/>
      <c r="L48" s="6"/>
      <c r="M48" s="6" t="s">
        <v>82</v>
      </c>
      <c r="N48" s="16" t="s">
        <v>250</v>
      </c>
      <c r="O48" s="6" t="s">
        <v>66</v>
      </c>
      <c r="P48" s="6" t="s">
        <v>58</v>
      </c>
      <c r="Q48" s="6" t="s">
        <v>18</v>
      </c>
      <c r="R48" s="6" t="s">
        <v>59</v>
      </c>
      <c r="S48" s="6"/>
      <c r="T48" s="14"/>
      <c r="U48" s="17"/>
    </row>
    <row r="49" spans="1:21" ht="45" customHeight="1">
      <c r="A49" s="12">
        <v>48</v>
      </c>
      <c r="B49" s="6" t="s">
        <v>60</v>
      </c>
      <c r="C49" s="6" t="s">
        <v>9</v>
      </c>
      <c r="D49" s="6" t="s">
        <v>251</v>
      </c>
      <c r="E49" s="13" t="s">
        <v>252</v>
      </c>
      <c r="F49" s="6">
        <v>63077930</v>
      </c>
      <c r="G49" s="6" t="s">
        <v>253</v>
      </c>
      <c r="H49" s="14">
        <v>46223</v>
      </c>
      <c r="I49" s="15">
        <v>275000</v>
      </c>
      <c r="J49" s="6"/>
      <c r="K49" s="6"/>
      <c r="L49" s="6"/>
      <c r="M49" s="6" t="s">
        <v>82</v>
      </c>
      <c r="N49" s="16" t="s">
        <v>254</v>
      </c>
      <c r="O49" s="6" t="s">
        <v>66</v>
      </c>
      <c r="P49" s="6" t="s">
        <v>58</v>
      </c>
      <c r="Q49" s="6" t="s">
        <v>18</v>
      </c>
      <c r="R49" s="6" t="s">
        <v>59</v>
      </c>
      <c r="S49" s="6"/>
      <c r="T49" s="14"/>
      <c r="U49" s="17"/>
    </row>
    <row r="50" spans="1:21" ht="45" customHeight="1">
      <c r="A50" s="12">
        <v>49</v>
      </c>
      <c r="B50" s="6" t="s">
        <v>60</v>
      </c>
      <c r="C50" s="6" t="s">
        <v>8</v>
      </c>
      <c r="D50" s="6" t="s">
        <v>255</v>
      </c>
      <c r="E50" s="13" t="s">
        <v>256</v>
      </c>
      <c r="F50" s="6">
        <v>63077956</v>
      </c>
      <c r="G50" s="6" t="s">
        <v>257</v>
      </c>
      <c r="H50" s="14">
        <v>46223</v>
      </c>
      <c r="I50" s="15">
        <v>44000</v>
      </c>
      <c r="J50" s="6" t="s">
        <v>258</v>
      </c>
      <c r="K50" s="6" t="s">
        <v>259</v>
      </c>
      <c r="L50" s="6"/>
      <c r="M50" s="6" t="s">
        <v>93</v>
      </c>
      <c r="N50" s="16" t="s">
        <v>260</v>
      </c>
      <c r="O50" s="6" t="s">
        <v>95</v>
      </c>
      <c r="P50" s="6" t="s">
        <v>58</v>
      </c>
      <c r="Q50" s="6" t="s">
        <v>18</v>
      </c>
      <c r="R50" s="6" t="s">
        <v>59</v>
      </c>
      <c r="S50" s="6"/>
      <c r="T50" s="14"/>
      <c r="U50" s="17"/>
    </row>
    <row r="51" spans="1:21" ht="45" customHeight="1">
      <c r="A51" s="12">
        <v>50</v>
      </c>
      <c r="B51" s="6" t="s">
        <v>60</v>
      </c>
      <c r="C51" s="6" t="s">
        <v>9</v>
      </c>
      <c r="D51" s="6" t="s">
        <v>261</v>
      </c>
      <c r="E51" s="13" t="s">
        <v>262</v>
      </c>
      <c r="F51" s="6">
        <v>63077980</v>
      </c>
      <c r="G51" s="6" t="s">
        <v>137</v>
      </c>
      <c r="H51" s="14">
        <v>46223</v>
      </c>
      <c r="I51" s="15">
        <v>308000</v>
      </c>
      <c r="J51" s="6"/>
      <c r="K51" s="6"/>
      <c r="L51" s="6"/>
      <c r="M51" s="6" t="s">
        <v>138</v>
      </c>
      <c r="N51" s="16" t="s">
        <v>263</v>
      </c>
      <c r="O51" s="6" t="s">
        <v>66</v>
      </c>
      <c r="P51" s="6" t="s">
        <v>58</v>
      </c>
      <c r="Q51" s="6" t="s">
        <v>18</v>
      </c>
      <c r="R51" s="6" t="s">
        <v>59</v>
      </c>
      <c r="S51" s="6"/>
      <c r="T51" s="14"/>
      <c r="U51" s="17"/>
    </row>
    <row r="52" spans="1:21" ht="45" customHeight="1">
      <c r="A52" s="12">
        <v>51</v>
      </c>
      <c r="B52" s="6" t="s">
        <v>60</v>
      </c>
      <c r="C52" s="6" t="s">
        <v>9</v>
      </c>
      <c r="D52" s="6" t="s">
        <v>264</v>
      </c>
      <c r="E52" s="13" t="s">
        <v>265</v>
      </c>
      <c r="F52" s="6">
        <v>63110944</v>
      </c>
      <c r="G52" s="6" t="s">
        <v>266</v>
      </c>
      <c r="H52" s="14">
        <v>46223</v>
      </c>
      <c r="I52" s="15">
        <v>1584000</v>
      </c>
      <c r="J52" s="6"/>
      <c r="K52" s="6"/>
      <c r="L52" s="6"/>
      <c r="M52" s="6" t="s">
        <v>64</v>
      </c>
      <c r="N52" s="16" t="s">
        <v>267</v>
      </c>
      <c r="O52" s="6" t="s">
        <v>66</v>
      </c>
      <c r="P52" s="6" t="s">
        <v>58</v>
      </c>
      <c r="Q52" s="6" t="s">
        <v>18</v>
      </c>
      <c r="R52" s="6" t="s">
        <v>59</v>
      </c>
      <c r="S52" s="6"/>
      <c r="T52" s="14"/>
      <c r="U52" s="17"/>
    </row>
    <row r="53" spans="1:21" ht="45" customHeight="1">
      <c r="A53" s="12">
        <v>52</v>
      </c>
      <c r="B53" s="6" t="s">
        <v>60</v>
      </c>
      <c r="C53" s="6" t="s">
        <v>9</v>
      </c>
      <c r="D53" s="6" t="s">
        <v>268</v>
      </c>
      <c r="E53" s="13" t="s">
        <v>269</v>
      </c>
      <c r="F53" s="6">
        <v>63110969</v>
      </c>
      <c r="G53" s="6" t="s">
        <v>270</v>
      </c>
      <c r="H53" s="14">
        <v>46223</v>
      </c>
      <c r="I53" s="15">
        <v>35200</v>
      </c>
      <c r="J53" s="6"/>
      <c r="K53" s="6"/>
      <c r="L53" s="6"/>
      <c r="M53" s="6" t="s">
        <v>64</v>
      </c>
      <c r="N53" s="16" t="s">
        <v>271</v>
      </c>
      <c r="O53" s="6" t="s">
        <v>66</v>
      </c>
      <c r="P53" s="6" t="s">
        <v>58</v>
      </c>
      <c r="Q53" s="6" t="s">
        <v>18</v>
      </c>
      <c r="R53" s="6" t="s">
        <v>59</v>
      </c>
      <c r="S53" s="6"/>
      <c r="T53" s="14"/>
      <c r="U53" s="17"/>
    </row>
    <row r="54" spans="1:21" ht="45" customHeight="1">
      <c r="A54" s="12">
        <v>53</v>
      </c>
      <c r="B54" s="6" t="s">
        <v>60</v>
      </c>
      <c r="C54" s="6" t="s">
        <v>9</v>
      </c>
      <c r="D54" s="6" t="s">
        <v>272</v>
      </c>
      <c r="E54" s="13" t="s">
        <v>273</v>
      </c>
      <c r="F54" s="6">
        <v>63120578</v>
      </c>
      <c r="G54" s="6" t="s">
        <v>274</v>
      </c>
      <c r="H54" s="14">
        <v>46223</v>
      </c>
      <c r="I54" s="15">
        <v>8800</v>
      </c>
      <c r="J54" s="6"/>
      <c r="K54" s="6"/>
      <c r="L54" s="6"/>
      <c r="M54" s="6" t="s">
        <v>64</v>
      </c>
      <c r="N54" s="16" t="s">
        <v>275</v>
      </c>
      <c r="O54" s="6" t="s">
        <v>66</v>
      </c>
      <c r="P54" s="6" t="s">
        <v>58</v>
      </c>
      <c r="Q54" s="6" t="s">
        <v>18</v>
      </c>
      <c r="R54" s="6" t="s">
        <v>59</v>
      </c>
      <c r="S54" s="6"/>
      <c r="T54" s="14"/>
      <c r="U54" s="17"/>
    </row>
    <row r="55" spans="1:21" ht="45" customHeight="1">
      <c r="A55" s="12">
        <v>54</v>
      </c>
      <c r="B55" s="6" t="s">
        <v>60</v>
      </c>
      <c r="C55" s="6" t="s">
        <v>8</v>
      </c>
      <c r="D55" s="6" t="s">
        <v>276</v>
      </c>
      <c r="E55" s="13" t="s">
        <v>277</v>
      </c>
      <c r="F55" s="6">
        <v>63125575</v>
      </c>
      <c r="G55" s="6" t="s">
        <v>124</v>
      </c>
      <c r="H55" s="14">
        <v>46223</v>
      </c>
      <c r="I55" s="15">
        <v>14080</v>
      </c>
      <c r="J55" s="6" t="s">
        <v>125</v>
      </c>
      <c r="K55" s="6" t="s">
        <v>126</v>
      </c>
      <c r="L55" s="6"/>
      <c r="M55" s="6" t="s">
        <v>93</v>
      </c>
      <c r="N55" s="16" t="s">
        <v>278</v>
      </c>
      <c r="O55" s="6" t="s">
        <v>95</v>
      </c>
      <c r="P55" s="6" t="s">
        <v>58</v>
      </c>
      <c r="Q55" s="6" t="s">
        <v>18</v>
      </c>
      <c r="R55" s="6" t="s">
        <v>59</v>
      </c>
      <c r="S55" s="6"/>
      <c r="T55" s="14"/>
      <c r="U55" s="17"/>
    </row>
    <row r="56" spans="1:21" ht="45" customHeight="1">
      <c r="A56" s="12">
        <v>55</v>
      </c>
      <c r="B56" s="6" t="s">
        <v>60</v>
      </c>
      <c r="C56" s="6" t="s">
        <v>9</v>
      </c>
      <c r="D56" s="6" t="s">
        <v>279</v>
      </c>
      <c r="E56" s="13" t="s">
        <v>280</v>
      </c>
      <c r="F56" s="6">
        <v>63126510</v>
      </c>
      <c r="G56" s="6" t="s">
        <v>249</v>
      </c>
      <c r="H56" s="14">
        <v>46223</v>
      </c>
      <c r="I56" s="15">
        <v>2244000</v>
      </c>
      <c r="J56" s="6"/>
      <c r="K56" s="6"/>
      <c r="L56" s="6"/>
      <c r="M56" s="6" t="s">
        <v>82</v>
      </c>
      <c r="N56" s="16" t="s">
        <v>281</v>
      </c>
      <c r="O56" s="6" t="s">
        <v>66</v>
      </c>
      <c r="P56" s="6" t="s">
        <v>58</v>
      </c>
      <c r="Q56" s="6" t="s">
        <v>18</v>
      </c>
      <c r="R56" s="6" t="s">
        <v>59</v>
      </c>
      <c r="S56" s="6"/>
      <c r="T56" s="14"/>
      <c r="U56" s="17"/>
    </row>
    <row r="57" spans="1:21" ht="45" customHeight="1">
      <c r="A57" s="12">
        <v>56</v>
      </c>
      <c r="B57" s="6" t="s">
        <v>60</v>
      </c>
      <c r="C57" s="6" t="s">
        <v>8</v>
      </c>
      <c r="D57" s="6" t="s">
        <v>282</v>
      </c>
      <c r="E57" s="13" t="s">
        <v>283</v>
      </c>
      <c r="F57" s="6">
        <v>63127138</v>
      </c>
      <c r="G57" s="6" t="s">
        <v>124</v>
      </c>
      <c r="H57" s="14">
        <v>46223</v>
      </c>
      <c r="I57" s="15">
        <v>1584000</v>
      </c>
      <c r="J57" s="6" t="s">
        <v>125</v>
      </c>
      <c r="K57" s="6" t="s">
        <v>126</v>
      </c>
      <c r="L57" s="6"/>
      <c r="M57" s="6" t="s">
        <v>93</v>
      </c>
      <c r="N57" s="16" t="s">
        <v>284</v>
      </c>
      <c r="O57" s="6" t="s">
        <v>95</v>
      </c>
      <c r="P57" s="6" t="s">
        <v>58</v>
      </c>
      <c r="Q57" s="6" t="s">
        <v>18</v>
      </c>
      <c r="R57" s="6" t="s">
        <v>59</v>
      </c>
      <c r="S57" s="6"/>
      <c r="T57" s="14"/>
      <c r="U57" s="17"/>
    </row>
    <row r="58" spans="1:21" ht="45" customHeight="1">
      <c r="A58" s="12">
        <v>57</v>
      </c>
      <c r="B58" s="6" t="s">
        <v>48</v>
      </c>
      <c r="C58" s="6" t="s">
        <v>11</v>
      </c>
      <c r="D58" s="6" t="s">
        <v>285</v>
      </c>
      <c r="E58" s="13" t="s">
        <v>286</v>
      </c>
      <c r="F58" s="6">
        <v>63128994</v>
      </c>
      <c r="G58" s="6" t="s">
        <v>287</v>
      </c>
      <c r="H58" s="14">
        <v>46223</v>
      </c>
      <c r="I58" s="15">
        <v>82500</v>
      </c>
      <c r="J58" s="6" t="s">
        <v>288</v>
      </c>
      <c r="K58" s="6" t="s">
        <v>289</v>
      </c>
      <c r="L58" s="6"/>
      <c r="M58" s="6" t="s">
        <v>290</v>
      </c>
      <c r="N58" s="16" t="s">
        <v>291</v>
      </c>
      <c r="O58" s="6" t="s">
        <v>57</v>
      </c>
      <c r="P58" s="6" t="s">
        <v>58</v>
      </c>
      <c r="Q58" s="6" t="s">
        <v>18</v>
      </c>
      <c r="R58" s="6" t="s">
        <v>59</v>
      </c>
      <c r="S58" s="6"/>
      <c r="T58" s="14"/>
      <c r="U58" s="17"/>
    </row>
    <row r="59" spans="1:21" ht="45" customHeight="1">
      <c r="A59" s="12">
        <v>58</v>
      </c>
      <c r="B59" s="6" t="s">
        <v>60</v>
      </c>
      <c r="C59" s="6" t="s">
        <v>7</v>
      </c>
      <c r="D59" s="6" t="s">
        <v>292</v>
      </c>
      <c r="E59" s="13" t="s">
        <v>293</v>
      </c>
      <c r="F59" s="6">
        <v>63150544</v>
      </c>
      <c r="G59" s="6" t="s">
        <v>63</v>
      </c>
      <c r="H59" s="14">
        <v>46223</v>
      </c>
      <c r="I59" s="15">
        <v>12100</v>
      </c>
      <c r="J59" s="6" t="s">
        <v>294</v>
      </c>
      <c r="K59" s="6"/>
      <c r="L59" s="6"/>
      <c r="M59" s="6" t="s">
        <v>64</v>
      </c>
      <c r="N59" s="16" t="s">
        <v>295</v>
      </c>
      <c r="O59" s="6" t="s">
        <v>66</v>
      </c>
      <c r="P59" s="6" t="s">
        <v>58</v>
      </c>
      <c r="Q59" s="6" t="s">
        <v>18</v>
      </c>
      <c r="R59" s="6" t="s">
        <v>59</v>
      </c>
      <c r="S59" s="6"/>
      <c r="T59" s="14"/>
      <c r="U59" s="17"/>
    </row>
    <row r="60" spans="1:21" ht="45" customHeight="1">
      <c r="A60" s="12">
        <v>59</v>
      </c>
      <c r="B60" s="6" t="s">
        <v>60</v>
      </c>
      <c r="C60" s="6" t="s">
        <v>8</v>
      </c>
      <c r="D60" s="6" t="s">
        <v>296</v>
      </c>
      <c r="E60" s="13" t="s">
        <v>297</v>
      </c>
      <c r="F60" s="6">
        <v>63150545</v>
      </c>
      <c r="G60" s="6" t="s">
        <v>69</v>
      </c>
      <c r="H60" s="14">
        <v>46223</v>
      </c>
      <c r="I60" s="15">
        <v>175450</v>
      </c>
      <c r="J60" s="6" t="s">
        <v>70</v>
      </c>
      <c r="K60" s="6" t="s">
        <v>71</v>
      </c>
      <c r="L60" s="6"/>
      <c r="M60" s="6" t="s">
        <v>72</v>
      </c>
      <c r="N60" s="16" t="s">
        <v>105</v>
      </c>
      <c r="O60" s="6" t="s">
        <v>74</v>
      </c>
      <c r="P60" s="6" t="s">
        <v>58</v>
      </c>
      <c r="Q60" s="6" t="s">
        <v>18</v>
      </c>
      <c r="R60" s="6" t="s">
        <v>59</v>
      </c>
      <c r="S60" s="6"/>
      <c r="T60" s="14"/>
      <c r="U60" s="17"/>
    </row>
    <row r="61" spans="1:21" ht="45" customHeight="1">
      <c r="A61" s="12">
        <v>60</v>
      </c>
      <c r="B61" s="6" t="s">
        <v>60</v>
      </c>
      <c r="C61" s="6" t="s">
        <v>7</v>
      </c>
      <c r="D61" s="6" t="s">
        <v>298</v>
      </c>
      <c r="E61" s="13" t="s">
        <v>299</v>
      </c>
      <c r="F61" s="6">
        <v>63150560</v>
      </c>
      <c r="G61" s="6" t="s">
        <v>201</v>
      </c>
      <c r="H61" s="14">
        <v>46223</v>
      </c>
      <c r="I61" s="15">
        <v>181500</v>
      </c>
      <c r="J61" s="6"/>
      <c r="K61" s="6"/>
      <c r="L61" s="6"/>
      <c r="M61" s="6" t="s">
        <v>183</v>
      </c>
      <c r="N61" s="16" t="s">
        <v>300</v>
      </c>
      <c r="O61" s="6" t="s">
        <v>66</v>
      </c>
      <c r="P61" s="6" t="s">
        <v>58</v>
      </c>
      <c r="Q61" s="6" t="s">
        <v>18</v>
      </c>
      <c r="R61" s="6" t="s">
        <v>59</v>
      </c>
      <c r="S61" s="6"/>
      <c r="T61" s="14"/>
      <c r="U61" s="17"/>
    </row>
    <row r="62" spans="1:21" ht="45" customHeight="1">
      <c r="A62" s="18">
        <v>61</v>
      </c>
      <c r="B62" s="19" t="s">
        <v>60</v>
      </c>
      <c r="C62" s="19" t="s">
        <v>9</v>
      </c>
      <c r="D62" s="19" t="s">
        <v>301</v>
      </c>
      <c r="E62" s="20" t="s">
        <v>302</v>
      </c>
      <c r="F62" s="19">
        <v>63150583</v>
      </c>
      <c r="G62" s="19" t="s">
        <v>303</v>
      </c>
      <c r="H62" s="21">
        <v>46234</v>
      </c>
      <c r="I62" s="22">
        <v>6600000</v>
      </c>
      <c r="J62" s="19"/>
      <c r="K62" s="19"/>
      <c r="L62" s="19"/>
      <c r="M62" s="19" t="s">
        <v>82</v>
      </c>
      <c r="N62" s="23" t="s">
        <v>304</v>
      </c>
      <c r="O62" s="19" t="s">
        <v>66</v>
      </c>
      <c r="P62" s="19" t="s">
        <v>58</v>
      </c>
      <c r="Q62" s="19" t="s">
        <v>18</v>
      </c>
      <c r="R62" s="19" t="s">
        <v>59</v>
      </c>
      <c r="S62" s="19"/>
      <c r="T62" s="21"/>
      <c r="U62" s="24"/>
    </row>
  </sheetData>
  <phoneticPr fontId="4"/>
  <conditionalFormatting sqref="B2:B62">
    <cfRule type="expression" dxfId="30" priority="1" stopIfTrue="1">
      <formula>$B2="高"</formula>
    </cfRule>
    <cfRule type="expression" dxfId="29" priority="2" stopIfTrue="1">
      <formula>$B2="中"</formula>
    </cfRule>
  </conditionalFormatting>
  <conditionalFormatting sqref="Q2:Q62">
    <cfRule type="expression" dxfId="28" priority="3" stopIfTrue="1">
      <formula>$Q2="対応済み"</formula>
    </cfRule>
    <cfRule type="expression" dxfId="27" priority="4" stopIfTrue="1">
      <formula>$Q2="対応待ち"</formula>
    </cfRule>
    <cfRule type="expression" dxfId="26" priority="5" stopIfTrue="1">
      <formula>$Q2="確認中"</formula>
    </cfRule>
  </conditionalFormatting>
  <dataValidations count="3">
    <dataValidation type="list" allowBlank="1" showInputMessage="1" showErrorMessage="1" sqref="P2:P62" xr:uid="{54058071-06C1-47BD-9509-23800B0F63D0}">
      <formula1>"経理,システム管理者,営業"</formula1>
    </dataValidation>
    <dataValidation type="list" allowBlank="1" showInputMessage="1" showErrorMessage="1" sqref="Q2:Q62" xr:uid="{0D8FDF8A-8EDE-43A6-9924-1C1F07671CE5}">
      <formula1>"未確認,確認中,対応待ち,対応済み,対象外"</formula1>
    </dataValidation>
    <dataValidation type="list" allowBlank="1" showInputMessage="1" showErrorMessage="1" sqref="R2:R62" xr:uid="{D8B11283-BA4B-42D9-AF9E-EE7E104BA696}">
      <formula1>"未入力,承認,修正必要,保留"</formula1>
    </dataValidation>
  </dataValidations>
  <hyperlinks>
    <hyperlink ref="E2" r:id="rId1" tooltip="Salesforceレコードを開く" xr:uid="{3ACF916B-F929-42C8-90DB-58F6E96C6FF5}"/>
    <hyperlink ref="E3" r:id="rId2" tooltip="Salesforceレコードを開く" xr:uid="{2C83B085-97BD-4AF2-B3EA-C4C548B7B020}"/>
    <hyperlink ref="E4" r:id="rId3" tooltip="Salesforceレコードを開く" xr:uid="{F454E8C8-72ED-4909-AA07-44E41065BC2F}"/>
    <hyperlink ref="E5" r:id="rId4" tooltip="Salesforceレコードを開く" xr:uid="{00FA351F-B86F-469E-B074-C5D0FAC5F8DE}"/>
    <hyperlink ref="E6" r:id="rId5" tooltip="Salesforceレコードを開く" xr:uid="{7E91E76E-67C7-4327-9F59-84FADAA141E4}"/>
    <hyperlink ref="E7" r:id="rId6" tooltip="Salesforceレコードを開く" xr:uid="{82E0A5A5-B613-414F-B9F1-4614FF8E5B15}"/>
    <hyperlink ref="E8" r:id="rId7" tooltip="Salesforceレコードを開く" xr:uid="{99779EBB-1A8E-4777-980B-4ECA484DEED3}"/>
    <hyperlink ref="E9" r:id="rId8" tooltip="Salesforceレコードを開く" xr:uid="{9812FA47-1D50-492E-A3D0-76613352DAAF}"/>
    <hyperlink ref="E10" r:id="rId9" tooltip="Salesforceレコードを開く" xr:uid="{E63BD14D-7332-4F0D-8643-4E548F873849}"/>
    <hyperlink ref="E11" r:id="rId10" tooltip="Salesforceレコードを開く" xr:uid="{A47F999A-CDAE-4072-873A-652CE27BB514}"/>
    <hyperlink ref="E12" r:id="rId11" tooltip="Salesforceレコードを開く" xr:uid="{0D81D864-964E-4745-A404-58869E1D4EDF}"/>
    <hyperlink ref="E13" r:id="rId12" tooltip="Salesforceレコードを開く" xr:uid="{63CF4AE2-6875-40B2-9288-7CD62A9FDECB}"/>
    <hyperlink ref="E14" r:id="rId13" tooltip="Salesforceレコードを開く" xr:uid="{8726AB09-E9B7-4694-AFCC-70817689B7E0}"/>
    <hyperlink ref="E15" r:id="rId14" tooltip="Salesforceレコードを開く" xr:uid="{C79BE4DA-19A8-4609-9F3F-02DC2B167E70}"/>
    <hyperlink ref="E16" r:id="rId15" tooltip="Salesforceレコードを開く" xr:uid="{F75FD59E-5377-4D4F-BCC6-685EFB2D424A}"/>
    <hyperlink ref="E17" r:id="rId16" tooltip="Salesforceレコードを開く" xr:uid="{4CA7466A-9023-4134-8EDE-D062FAC92A47}"/>
    <hyperlink ref="E18" r:id="rId17" tooltip="Salesforceレコードを開く" xr:uid="{2419D549-B3C2-4A42-B76B-2E172816623C}"/>
    <hyperlink ref="E19" r:id="rId18" tooltip="Salesforceレコードを開く" xr:uid="{246C9374-813E-467D-B909-AD4B805324EE}"/>
    <hyperlink ref="E20" r:id="rId19" tooltip="Salesforceレコードを開く" xr:uid="{12BBDB17-BD7F-4E5C-B937-B9C9566330BF}"/>
    <hyperlink ref="E21" r:id="rId20" tooltip="Salesforceレコードを開く" xr:uid="{00A522B1-D90F-4655-AEBE-7AA10357766D}"/>
    <hyperlink ref="E22" r:id="rId21" tooltip="Salesforceレコードを開く" xr:uid="{042BC981-4057-4939-A029-F4DB9A475EDD}"/>
    <hyperlink ref="E23" r:id="rId22" tooltip="Salesforceレコードを開く" xr:uid="{2DEDD419-1F0C-42A8-8B2C-28870B619A00}"/>
    <hyperlink ref="E24" r:id="rId23" tooltip="Salesforceレコードを開く" xr:uid="{F3867C92-6C75-41E7-A0BE-FDCB5AA7BA01}"/>
    <hyperlink ref="E25" r:id="rId24" tooltip="Salesforceレコードを開く" xr:uid="{D354D639-8FDE-40DF-8AF7-504CCB972501}"/>
    <hyperlink ref="E26" r:id="rId25" tooltip="Salesforceレコードを開く" xr:uid="{87DDAE62-A574-4072-ACDC-9E6D88789AA7}"/>
    <hyperlink ref="E27" r:id="rId26" tooltip="Salesforceレコードを開く" xr:uid="{0CE41669-CBDB-4576-B496-5EA2322591EA}"/>
    <hyperlink ref="E28" r:id="rId27" tooltip="Salesforceレコードを開く" xr:uid="{7104E944-01DA-4FF5-A265-255FF9A2D833}"/>
    <hyperlink ref="E29" r:id="rId28" tooltip="Salesforceレコードを開く" xr:uid="{92F80D60-367A-4410-9959-7DFDF2DFD8E4}"/>
    <hyperlink ref="E30" r:id="rId29" tooltip="Salesforceレコードを開く" xr:uid="{237B0CCE-A860-4D44-BD9C-7C4F8FE94101}"/>
    <hyperlink ref="E31" r:id="rId30" tooltip="Salesforceレコードを開く" xr:uid="{55DA9A4F-2AFC-45C0-AA61-0B38BC80CF12}"/>
    <hyperlink ref="E32" r:id="rId31" tooltip="Salesforceレコードを開く" xr:uid="{E5EF70C5-E93D-4D70-B9C4-C2EEA674D915}"/>
    <hyperlink ref="E33" r:id="rId32" tooltip="Salesforceレコードを開く" xr:uid="{7A917202-4928-4822-A87F-2BC54968BAD0}"/>
    <hyperlink ref="E34" r:id="rId33" tooltip="Salesforceレコードを開く" xr:uid="{A080FFF8-7031-4DBF-AA07-807A0414B54C}"/>
    <hyperlink ref="E35" r:id="rId34" tooltip="Salesforceレコードを開く" xr:uid="{8F1172E1-6B7B-4913-A287-985CF75B83C4}"/>
    <hyperlink ref="E36" r:id="rId35" tooltip="Salesforceレコードを開く" xr:uid="{C5C840EE-5CA9-4DBA-9D73-A484B81D2959}"/>
    <hyperlink ref="E37" r:id="rId36" tooltip="Salesforceレコードを開く" xr:uid="{8DE7395C-1ADF-4B1A-948F-06189416C7C9}"/>
    <hyperlink ref="E38" r:id="rId37" tooltip="Salesforceレコードを開く" xr:uid="{4E3DCA96-6BE6-40BF-B0D2-448EE1EDE373}"/>
    <hyperlink ref="E39" r:id="rId38" tooltip="Salesforceレコードを開く" xr:uid="{346F4DAA-188D-4A20-B713-AF1C43A958A0}"/>
    <hyperlink ref="E40" r:id="rId39" tooltip="Salesforceレコードを開く" xr:uid="{2A7D6670-F6DA-44F0-BFF9-EFE5905A3D76}"/>
    <hyperlink ref="E41" r:id="rId40" tooltip="Salesforceレコードを開く" xr:uid="{DDBCD232-AB3D-42B8-AA89-246061A38312}"/>
    <hyperlink ref="E42" r:id="rId41" tooltip="Salesforceレコードを開く" xr:uid="{DDB10D0D-989D-4A23-A6B9-54CAEE29335F}"/>
    <hyperlink ref="E43" r:id="rId42" tooltip="Salesforceレコードを開く" xr:uid="{8B81EDD7-395A-4F88-94B3-43038E3C28C1}"/>
    <hyperlink ref="E44" r:id="rId43" tooltip="Salesforceレコードを開く" xr:uid="{9173D6D4-7267-4A4F-B560-B662FDD13CB5}"/>
    <hyperlink ref="E45" r:id="rId44" tooltip="Salesforceレコードを開く" xr:uid="{0A965888-40E2-4E60-80B3-4E3BD534B311}"/>
    <hyperlink ref="E46" r:id="rId45" tooltip="Salesforceレコードを開く" xr:uid="{F033A591-0CDB-493D-954D-4BC54C981273}"/>
    <hyperlink ref="E47" r:id="rId46" tooltip="Salesforceレコードを開く" xr:uid="{B1FE15F7-4F7B-4A57-B1BA-21E99A5F0880}"/>
    <hyperlink ref="E48" r:id="rId47" tooltip="Salesforceレコードを開く" xr:uid="{B7DB513C-22A3-4C68-A0B7-A8BD87555EB6}"/>
    <hyperlink ref="E49" r:id="rId48" tooltip="Salesforceレコードを開く" xr:uid="{BE1A8E3A-B2CB-4E8B-B7A0-E3AC363F39D1}"/>
    <hyperlink ref="E50" r:id="rId49" tooltip="Salesforceレコードを開く" xr:uid="{49418A12-B39E-4A07-93B8-FD023C5F7267}"/>
    <hyperlink ref="E51" r:id="rId50" tooltip="Salesforceレコードを開く" xr:uid="{38A2B008-792E-4EF8-814F-5EB84DC91C2D}"/>
    <hyperlink ref="E52" r:id="rId51" tooltip="Salesforceレコードを開く" xr:uid="{1E04D85B-5541-44A3-8DBE-F16F72966174}"/>
    <hyperlink ref="E53" r:id="rId52" tooltip="Salesforceレコードを開く" xr:uid="{33B8F193-7020-4490-A924-DCB0746B679A}"/>
    <hyperlink ref="E54" r:id="rId53" tooltip="Salesforceレコードを開く" xr:uid="{B0B988D7-515B-4E18-9E36-8F8CD5558C89}"/>
    <hyperlink ref="E55" r:id="rId54" tooltip="Salesforceレコードを開く" xr:uid="{F08649FD-9AD2-459E-955A-EB5BBADFFAC5}"/>
    <hyperlink ref="E56" r:id="rId55" tooltip="Salesforceレコードを開く" xr:uid="{55FE65D3-C2BC-4E29-9725-ADB9A9A823AC}"/>
    <hyperlink ref="E57" r:id="rId56" tooltip="Salesforceレコードを開く" xr:uid="{66D3BEB8-AAB3-440C-A928-94A74CFE0FC6}"/>
    <hyperlink ref="E58" r:id="rId57" tooltip="Salesforceレコードを開く" xr:uid="{0F97EA48-D9C3-4EA4-BA75-67CDF820CF8B}"/>
    <hyperlink ref="E59" r:id="rId58" tooltip="Salesforceレコードを開く" xr:uid="{51382C9A-855C-4EA0-B339-BA56361252C6}"/>
    <hyperlink ref="E60" r:id="rId59" tooltip="Salesforceレコードを開く" xr:uid="{0C0AFCC5-0B06-4196-8E1E-3B5725E14247}"/>
    <hyperlink ref="E61" r:id="rId60" tooltip="Salesforceレコードを開く" xr:uid="{A425BA69-F89B-454D-826E-49EEC2036160}"/>
    <hyperlink ref="E62" r:id="rId61" tooltip="Salesforceレコードを開く" xr:uid="{D18AE7C6-BD11-4BA4-A83B-CEC2E68D429A}"/>
  </hyperlinks>
  <pageMargins left="0.7" right="0.7" top="0.75" bottom="0.75" header="0.3" footer="0.3"/>
  <tableParts count="1">
    <tablePart r:id="rId6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002A4-E922-442E-B8D8-298EFA34E625}">
  <dimension ref="A1:H16"/>
  <sheetViews>
    <sheetView showGridLines="0" tabSelected="1" zoomScale="95" zoomScaleNormal="95" workbookViewId="0">
      <selection sqref="A1:H1"/>
    </sheetView>
  </sheetViews>
  <sheetFormatPr defaultRowHeight="16.5"/>
  <cols>
    <col min="1" max="1" width="30.625" style="1" customWidth="1"/>
    <col min="2" max="2" width="12.625" style="1" customWidth="1"/>
    <col min="3" max="3" width="3.625" style="1" customWidth="1"/>
    <col min="4" max="4" width="16.625" style="1" customWidth="1"/>
    <col min="5" max="5" width="12.625" style="1" customWidth="1"/>
    <col min="6" max="6" width="30.625" style="1" customWidth="1"/>
    <col min="7" max="7" width="16.625" style="1" customWidth="1"/>
    <col min="8" max="8" width="14.625" style="1" customWidth="1"/>
    <col min="9" max="16384" width="9" style="1"/>
  </cols>
  <sheetData>
    <row r="1" spans="1:8" ht="33.950000000000003" customHeight="1">
      <c r="A1" s="2" t="s">
        <v>0</v>
      </c>
      <c r="B1" s="2"/>
      <c r="C1" s="2"/>
      <c r="D1" s="2"/>
      <c r="E1" s="2"/>
      <c r="F1" s="2"/>
      <c r="G1" s="2"/>
      <c r="H1" s="2"/>
    </row>
    <row r="2" spans="1:8">
      <c r="A2" s="3" t="s">
        <v>1</v>
      </c>
      <c r="B2" s="3"/>
      <c r="C2" s="3"/>
      <c r="D2" s="3"/>
      <c r="E2" s="3"/>
      <c r="F2" s="3"/>
      <c r="G2" s="3"/>
      <c r="H2" s="3"/>
    </row>
    <row r="3" spans="1:8">
      <c r="A3" s="4" t="s">
        <v>2</v>
      </c>
      <c r="B3" s="4">
        <f>COUNTA(レコード別確認!D2:D62)</f>
        <v>61</v>
      </c>
      <c r="C3" s="4"/>
      <c r="D3" s="4" t="s">
        <v>3</v>
      </c>
      <c r="E3" s="4">
        <f>COUNTIF(レコード別確認!Q2:Q62,"未確認")</f>
        <v>61</v>
      </c>
      <c r="F3" s="4"/>
      <c r="G3" s="4" t="s">
        <v>4</v>
      </c>
      <c r="H3" s="5">
        <f>(COUNTIF(レコード別確認!Q2:Q62,"対応済み")+COUNTIF(レコード別確認!Q2:Q62,"対象外"))/B3</f>
        <v>0</v>
      </c>
    </row>
    <row r="4" spans="1:8">
      <c r="A4" s="6"/>
      <c r="B4" s="6"/>
      <c r="C4" s="6"/>
      <c r="D4" s="6"/>
      <c r="E4" s="6"/>
      <c r="F4" s="6"/>
      <c r="G4" s="6"/>
      <c r="H4" s="6"/>
    </row>
    <row r="5" spans="1:8">
      <c r="A5" s="7" t="s">
        <v>5</v>
      </c>
      <c r="B5" s="7" t="s">
        <v>6</v>
      </c>
      <c r="C5" s="6"/>
      <c r="D5" s="7" t="s">
        <v>16</v>
      </c>
      <c r="E5" s="7" t="s">
        <v>6</v>
      </c>
      <c r="F5" s="7" t="s">
        <v>17</v>
      </c>
      <c r="G5" s="6"/>
      <c r="H5" s="6"/>
    </row>
    <row r="6" spans="1:8">
      <c r="A6" s="6" t="s">
        <v>7</v>
      </c>
      <c r="B6" s="6">
        <f>COUNTIF(レコード別確認!C2:C62,A6)</f>
        <v>5</v>
      </c>
      <c r="C6" s="6"/>
      <c r="D6" s="6" t="s">
        <v>18</v>
      </c>
      <c r="E6" s="6">
        <f>COUNTIF(レコード別確認!Q2:Q62,D6)</f>
        <v>61</v>
      </c>
      <c r="F6" s="6" t="s">
        <v>19</v>
      </c>
      <c r="G6" s="6"/>
      <c r="H6" s="6"/>
    </row>
    <row r="7" spans="1:8">
      <c r="A7" s="6" t="s">
        <v>8</v>
      </c>
      <c r="B7" s="6">
        <f>COUNTIF(レコード別確認!C2:C62,A7)</f>
        <v>19</v>
      </c>
      <c r="C7" s="6"/>
      <c r="D7" s="6" t="s">
        <v>20</v>
      </c>
      <c r="E7" s="6">
        <f>COUNTIF(レコード別確認!Q2:Q62,D7)</f>
        <v>0</v>
      </c>
      <c r="F7" s="6" t="s">
        <v>21</v>
      </c>
      <c r="G7" s="6"/>
      <c r="H7" s="6"/>
    </row>
    <row r="8" spans="1:8">
      <c r="A8" s="6" t="s">
        <v>9</v>
      </c>
      <c r="B8" s="6">
        <f>COUNTIF(レコード別確認!C2:C62,A8)</f>
        <v>34</v>
      </c>
      <c r="C8" s="6"/>
      <c r="D8" s="6" t="s">
        <v>22</v>
      </c>
      <c r="E8" s="6">
        <f>COUNTIF(レコード別確認!Q2:Q62,D8)</f>
        <v>0</v>
      </c>
      <c r="F8" s="6" t="s">
        <v>23</v>
      </c>
      <c r="G8" s="6"/>
      <c r="H8" s="6"/>
    </row>
    <row r="9" spans="1:8">
      <c r="A9" s="6" t="s">
        <v>10</v>
      </c>
      <c r="B9" s="6">
        <f>COUNTIF(レコード別確認!C2:C62,A9)</f>
        <v>1</v>
      </c>
      <c r="C9" s="6"/>
      <c r="D9" s="6" t="s">
        <v>24</v>
      </c>
      <c r="E9" s="6">
        <f>COUNTIF(レコード別確認!Q2:Q62,D9)</f>
        <v>0</v>
      </c>
      <c r="F9" s="6" t="s">
        <v>25</v>
      </c>
      <c r="G9" s="6"/>
      <c r="H9" s="6"/>
    </row>
    <row r="10" spans="1:8">
      <c r="A10" s="6" t="s">
        <v>11</v>
      </c>
      <c r="B10" s="6">
        <f>COUNTIF(レコード別確認!C2:C62,A10)</f>
        <v>1</v>
      </c>
      <c r="C10" s="6"/>
      <c r="D10" s="6" t="s">
        <v>26</v>
      </c>
      <c r="E10" s="6">
        <f>COUNTIF(レコード別確認!Q2:Q62,D10)</f>
        <v>0</v>
      </c>
      <c r="F10" s="6" t="s">
        <v>27</v>
      </c>
      <c r="G10" s="6"/>
      <c r="H10" s="6"/>
    </row>
    <row r="11" spans="1:8">
      <c r="A11" s="6" t="s">
        <v>12</v>
      </c>
      <c r="B11" s="6">
        <f>COUNTIF(レコード別確認!C2:C62,A11)</f>
        <v>1</v>
      </c>
      <c r="C11" s="6"/>
      <c r="D11" s="6"/>
      <c r="E11" s="6"/>
      <c r="F11" s="6"/>
      <c r="G11" s="6"/>
      <c r="H11" s="6"/>
    </row>
    <row r="12" spans="1:8">
      <c r="A12" s="6" t="s">
        <v>13</v>
      </c>
      <c r="B12" s="6">
        <f>COUNTIF(レコード別確認!C2:C62,A12)</f>
        <v>0</v>
      </c>
      <c r="C12" s="6"/>
      <c r="D12" s="6"/>
      <c r="E12" s="6"/>
      <c r="F12" s="6"/>
      <c r="G12" s="6"/>
      <c r="H12" s="6"/>
    </row>
    <row r="13" spans="1:8">
      <c r="A13" s="6" t="s">
        <v>14</v>
      </c>
      <c r="B13" s="6">
        <f>COUNTIF(レコード別確認!C2:C62,A13)</f>
        <v>0</v>
      </c>
      <c r="C13" s="6"/>
      <c r="D13" s="6"/>
      <c r="E13" s="6"/>
      <c r="F13" s="6"/>
      <c r="G13" s="6"/>
      <c r="H13" s="6"/>
    </row>
    <row r="14" spans="1:8">
      <c r="A14" s="6" t="s">
        <v>15</v>
      </c>
      <c r="B14" s="6">
        <f>COUNTIF(レコード別確認!C2:C62,A14)</f>
        <v>0</v>
      </c>
      <c r="C14" s="6"/>
      <c r="D14" s="6"/>
      <c r="E14" s="6"/>
      <c r="F14" s="6"/>
      <c r="G14" s="6"/>
      <c r="H14" s="6"/>
    </row>
    <row r="15" spans="1:8">
      <c r="A15" s="6"/>
      <c r="B15" s="6"/>
      <c r="C15" s="6"/>
      <c r="D15" s="6"/>
      <c r="E15" s="6"/>
      <c r="F15" s="6"/>
      <c r="G15" s="6"/>
      <c r="H15" s="6"/>
    </row>
    <row r="16" spans="1:8" ht="36" customHeight="1">
      <c r="A16" s="8" t="s">
        <v>28</v>
      </c>
      <c r="B16" s="8"/>
      <c r="C16" s="8"/>
      <c r="D16" s="8"/>
      <c r="E16" s="8"/>
      <c r="F16" s="8"/>
      <c r="G16" s="8"/>
      <c r="H16" s="8"/>
    </row>
  </sheetData>
  <mergeCells count="3">
    <mergeCell ref="A1:H1"/>
    <mergeCell ref="A2:H2"/>
    <mergeCell ref="A16:H16"/>
  </mergeCells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対応履歴</vt:lpstr>
      <vt:lpstr>共通質問</vt:lpstr>
      <vt:lpstr>レコード別確認</vt:lpstr>
      <vt:lpstr>サマリー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 Kawanami(川波 嵩)</dc:creator>
  <cp:lastModifiedBy>Shu Kawanami(川波 嵩)</cp:lastModifiedBy>
  <dcterms:created xsi:type="dcterms:W3CDTF">2026-07-24T10:59:36Z</dcterms:created>
  <dcterms:modified xsi:type="dcterms:W3CDTF">2026-07-24T11:00:09Z</dcterms:modified>
</cp:coreProperties>
</file>