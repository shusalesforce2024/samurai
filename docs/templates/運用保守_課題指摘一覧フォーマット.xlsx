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課題・指摘一覧" sheetId="1" r:id="rId1"/>
    <sheet name="サマリ" sheetId="2" r:id="rId2"/>
    <sheet name="入力ルール" sheetId="3" r:id="r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name val="Meiryo UI"/>
    </font>
    <font>
      <b/>
      <color rgb="FFFFFFFF"/>
      <sz val="11"/>
      <name val="Meiryo UI"/>
    </font>
    <font>
      <b/>
      <sz val="14"/>
      <name val="Meiryo U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5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164" fontId="0" fillId="0" borderId="1" xfId="0" applyNumberFormat="1" applyBorder="1"/>
    <xf numFmtId="0" fontId="0" fillId="3" borderId="1" xfId="0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12" customWidth="1"/>
    <col min="3" max="3" width="12" customWidth="1"/>
    <col min="4" max="4" width="10" customWidth="1"/>
    <col min="5" max="5" width="16" customWidth="1"/>
    <col min="6" max="6" width="12" customWidth="1"/>
    <col min="7" max="7" width="28" customWidth="1"/>
    <col min="8" max="8" width="42" customWidth="1"/>
    <col min="9" max="9" width="24" customWidth="1"/>
    <col min="10" max="10" width="14" customWidth="1"/>
    <col min="11" max="11" width="14" customWidth="1"/>
    <col min="12" max="12" width="12" customWidth="1"/>
    <col min="13" max="13" width="12" customWidth="1"/>
    <col min="14" max="14" width="12" customWidth="1"/>
    <col min="15" max="15" width="32" customWidth="1"/>
    <col min="16" max="16" width="32" customWidth="1"/>
    <col min="17" max="17" width="32" customWidth="1"/>
    <col min="18" max="18" width="28" customWidth="1"/>
    <col min="19" max="19" width="24" customWidth="1"/>
  </cols>
  <sheetData>
    <row r="1" ht="24" customHeight="1">
      <c r="A1" t="inlineStr" s="1">
        <is>
          <t>No</t>
        </is>
      </c>
      <c r="B1" t="inlineStr" s="1">
        <is>
          <t>起票日</t>
        </is>
      </c>
      <c r="C1" t="inlineStr" s="1">
        <is>
          <t>種別</t>
        </is>
      </c>
      <c r="D1" t="inlineStr" s="1">
        <is>
          <t>優先度</t>
        </is>
      </c>
      <c r="E1" t="inlineStr" s="1">
        <is>
          <t>影響度</t>
        </is>
      </c>
      <c r="F1" t="inlineStr" s="1">
        <is>
          <t>ステータス</t>
        </is>
      </c>
      <c r="G1" t="inlineStr" s="1">
        <is>
          <t>件名</t>
        </is>
      </c>
      <c r="H1" t="inlineStr" s="1">
        <is>
          <t>具体内容</t>
        </is>
      </c>
      <c r="I1" t="inlineStr" s="1">
        <is>
          <t>対象機能/オブジェクト</t>
        </is>
      </c>
      <c r="J1" t="inlineStr" s="1">
        <is>
          <t>発見者</t>
        </is>
      </c>
      <c r="K1" t="inlineStr" s="1">
        <is>
          <t>担当者</t>
        </is>
      </c>
      <c r="L1" t="inlineStr" s="1">
        <is>
          <t>期限</t>
        </is>
      </c>
      <c r="M1" t="inlineStr" s="1">
        <is>
          <t>解消日</t>
        </is>
      </c>
      <c r="N1" t="inlineStr" s="1">
        <is>
          <t>未解決日数</t>
        </is>
      </c>
      <c r="O1" t="inlineStr" s="1">
        <is>
          <t>対応方針</t>
        </is>
      </c>
      <c r="P1" t="inlineStr" s="1">
        <is>
          <t>対応内容</t>
        </is>
      </c>
      <c r="Q1" t="inlineStr" s="1">
        <is>
          <t>再発防止</t>
        </is>
      </c>
      <c r="R1" t="inlineStr" s="1">
        <is>
          <t>関連URL/レコードID</t>
        </is>
      </c>
      <c r="S1" t="inlineStr" s="1">
        <is>
          <t>備考</t>
        </is>
      </c>
    </row>
    <row r="2">
      <c r="A2">
        <v>1</v>
      </c>
      <c r="B2" s="3">
        <v>46211</v>
      </c>
      <c r="C2" t="inlineStr">
        <is>
          <t>課題</t>
        </is>
      </c>
      <c r="D2" t="inlineStr">
        <is>
          <t>高</t>
        </is>
      </c>
      <c r="E2" t="inlineStr">
        <is>
          <t>業務影響あり</t>
        </is>
      </c>
      <c r="F2" t="inlineStr">
        <is>
          <t>未対応</t>
        </is>
      </c>
      <c r="G2" t="inlineStr">
        <is>
          <t>例: Freee請求取得エラー</t>
        </is>
      </c>
      <c r="H2" t="inlineStr">
        <is>
          <t>現象、発生条件、期待動作を記載</t>
        </is>
      </c>
      <c r="I2" t="inlineStr">
        <is>
          <t>Freee請求移行Work</t>
        </is>
      </c>
      <c r="J2" t="inlineStr">
        <is>
          <t>経理</t>
        </is>
      </c>
      <c r="K2"/>
      <c r="L2" s="3">
        <v>46218</v>
      </c>
      <c r="M2" s="3"/>
      <c r="N2">
        <f>IF(F2="完了","",TODAY()-B2)</f>
      </c>
      <c r="O2"/>
      <c r="P2"/>
      <c r="Q2"/>
      <c r="R2"/>
      <c r="S2"/>
    </row>
    <row r="3">
      <c r="A3">
        <v>2</v>
      </c>
      <c r="B3" s="3"/>
      <c r="C3"/>
      <c r="D3"/>
      <c r="E3"/>
      <c r="F3"/>
      <c r="G3"/>
      <c r="H3"/>
      <c r="I3"/>
      <c r="J3"/>
      <c r="K3"/>
      <c r="L3" s="3"/>
      <c r="M3" s="3"/>
      <c r="N3">
        <f>IF(F3="完了","",IF(B3="","",TODAY()-B3))</f>
      </c>
      <c r="O3"/>
      <c r="P3"/>
      <c r="Q3"/>
      <c r="R3"/>
      <c r="S3"/>
    </row>
    <row r="4">
      <c r="A4">
        <v>3</v>
      </c>
      <c r="B4" s="3"/>
      <c r="C4"/>
      <c r="D4"/>
      <c r="E4"/>
      <c r="F4"/>
      <c r="G4"/>
      <c r="H4"/>
      <c r="I4"/>
      <c r="J4"/>
      <c r="K4"/>
      <c r="L4" s="3"/>
      <c r="M4" s="3"/>
      <c r="N4">
        <f>IF(F4="完了","",IF(B4="","",TODAY()-B4))</f>
      </c>
      <c r="O4"/>
      <c r="P4"/>
      <c r="Q4"/>
      <c r="R4"/>
      <c r="S4"/>
    </row>
    <row r="5">
      <c r="A5">
        <v>4</v>
      </c>
      <c r="B5" s="3"/>
      <c r="C5"/>
      <c r="D5"/>
      <c r="E5"/>
      <c r="F5"/>
      <c r="G5"/>
      <c r="H5"/>
      <c r="I5"/>
      <c r="J5"/>
      <c r="K5"/>
      <c r="L5" s="3"/>
      <c r="M5" s="3"/>
      <c r="N5">
        <f>IF(F5="完了","",IF(B5="","",TODAY()-B5))</f>
      </c>
      <c r="O5"/>
      <c r="P5"/>
      <c r="Q5"/>
      <c r="R5"/>
      <c r="S5"/>
    </row>
    <row r="6">
      <c r="A6">
        <v>5</v>
      </c>
      <c r="B6" s="3"/>
      <c r="C6"/>
      <c r="D6"/>
      <c r="E6"/>
      <c r="F6"/>
      <c r="G6"/>
      <c r="H6"/>
      <c r="I6"/>
      <c r="J6"/>
      <c r="K6"/>
      <c r="L6" s="3"/>
      <c r="M6" s="3"/>
      <c r="N6">
        <f>IF(F6="完了","",IF(B6="","",TODAY()-B6))</f>
      </c>
      <c r="O6"/>
      <c r="P6"/>
      <c r="Q6"/>
      <c r="R6"/>
      <c r="S6"/>
    </row>
    <row r="7">
      <c r="A7">
        <v>6</v>
      </c>
      <c r="B7" s="3"/>
      <c r="C7"/>
      <c r="D7"/>
      <c r="E7"/>
      <c r="F7"/>
      <c r="G7"/>
      <c r="H7"/>
      <c r="I7"/>
      <c r="J7"/>
      <c r="K7"/>
      <c r="L7" s="3"/>
      <c r="M7" s="3"/>
      <c r="N7">
        <f>IF(F7="完了","",IF(B7="","",TODAY()-B7))</f>
      </c>
      <c r="O7"/>
      <c r="P7"/>
      <c r="Q7"/>
      <c r="R7"/>
      <c r="S7"/>
    </row>
    <row r="8">
      <c r="A8">
        <v>7</v>
      </c>
      <c r="B8" s="3"/>
      <c r="C8"/>
      <c r="D8"/>
      <c r="E8"/>
      <c r="F8"/>
      <c r="G8"/>
      <c r="H8"/>
      <c r="I8"/>
      <c r="J8"/>
      <c r="K8"/>
      <c r="L8" s="3"/>
      <c r="M8" s="3"/>
      <c r="N8">
        <f>IF(F8="完了","",IF(B8="","",TODAY()-B8))</f>
      </c>
      <c r="O8"/>
      <c r="P8"/>
      <c r="Q8"/>
      <c r="R8"/>
      <c r="S8"/>
    </row>
    <row r="9">
      <c r="A9">
        <v>8</v>
      </c>
      <c r="B9" s="3"/>
      <c r="C9"/>
      <c r="D9"/>
      <c r="E9"/>
      <c r="F9"/>
      <c r="G9"/>
      <c r="H9"/>
      <c r="I9"/>
      <c r="J9"/>
      <c r="K9"/>
      <c r="L9" s="3"/>
      <c r="M9" s="3"/>
      <c r="N9">
        <f>IF(F9="完了","",IF(B9="","",TODAY()-B9))</f>
      </c>
      <c r="O9"/>
      <c r="P9"/>
      <c r="Q9"/>
      <c r="R9"/>
      <c r="S9"/>
    </row>
    <row r="10">
      <c r="A10">
        <v>9</v>
      </c>
      <c r="B10" s="3"/>
      <c r="C10"/>
      <c r="D10"/>
      <c r="E10"/>
      <c r="F10"/>
      <c r="G10"/>
      <c r="H10"/>
      <c r="I10"/>
      <c r="J10"/>
      <c r="K10"/>
      <c r="L10" s="3"/>
      <c r="M10" s="3"/>
      <c r="N10">
        <f>IF(F10="完了","",IF(B10="","",TODAY()-B10))</f>
      </c>
      <c r="O10"/>
      <c r="P10"/>
      <c r="Q10"/>
      <c r="R10"/>
      <c r="S10"/>
    </row>
    <row r="11">
      <c r="A11">
        <v>10</v>
      </c>
      <c r="B11" s="3"/>
      <c r="C11"/>
      <c r="D11"/>
      <c r="E11"/>
      <c r="F11"/>
      <c r="G11"/>
      <c r="H11"/>
      <c r="I11"/>
      <c r="J11"/>
      <c r="K11"/>
      <c r="L11" s="3"/>
      <c r="M11" s="3"/>
      <c r="N11">
        <f>IF(F11="完了","",IF(B11="","",TODAY()-B11))</f>
      </c>
      <c r="O11"/>
      <c r="P11"/>
      <c r="Q11"/>
      <c r="R11"/>
      <c r="S11"/>
    </row>
    <row r="12">
      <c r="A12">
        <v>11</v>
      </c>
      <c r="B12" s="3"/>
      <c r="C12"/>
      <c r="D12"/>
      <c r="E12"/>
      <c r="F12"/>
      <c r="G12"/>
      <c r="H12"/>
      <c r="I12"/>
      <c r="J12"/>
      <c r="K12"/>
      <c r="L12" s="3"/>
      <c r="M12" s="3"/>
      <c r="N12">
        <f>IF(F12="完了","",IF(B12="","",TODAY()-B12))</f>
      </c>
      <c r="O12"/>
      <c r="P12"/>
      <c r="Q12"/>
      <c r="R12"/>
      <c r="S12"/>
    </row>
    <row r="13">
      <c r="A13">
        <v>12</v>
      </c>
      <c r="B13" s="3"/>
      <c r="C13"/>
      <c r="D13"/>
      <c r="E13"/>
      <c r="F13"/>
      <c r="G13"/>
      <c r="H13"/>
      <c r="I13"/>
      <c r="J13"/>
      <c r="K13"/>
      <c r="L13" s="3"/>
      <c r="M13" s="3"/>
      <c r="N13">
        <f>IF(F13="完了","",IF(B13="","",TODAY()-B13))</f>
      </c>
      <c r="O13"/>
      <c r="P13"/>
      <c r="Q13"/>
      <c r="R13"/>
      <c r="S13"/>
    </row>
    <row r="14">
      <c r="A14">
        <v>13</v>
      </c>
      <c r="B14" s="3"/>
      <c r="C14"/>
      <c r="D14"/>
      <c r="E14"/>
      <c r="F14"/>
      <c r="G14"/>
      <c r="H14"/>
      <c r="I14"/>
      <c r="J14"/>
      <c r="K14"/>
      <c r="L14" s="3"/>
      <c r="M14" s="3"/>
      <c r="N14">
        <f>IF(F14="完了","",IF(B14="","",TODAY()-B14))</f>
      </c>
      <c r="O14"/>
      <c r="P14"/>
      <c r="Q14"/>
      <c r="R14"/>
      <c r="S14"/>
    </row>
    <row r="15">
      <c r="A15">
        <v>14</v>
      </c>
      <c r="B15" s="3"/>
      <c r="C15"/>
      <c r="D15"/>
      <c r="E15"/>
      <c r="F15"/>
      <c r="G15"/>
      <c r="H15"/>
      <c r="I15"/>
      <c r="J15"/>
      <c r="K15"/>
      <c r="L15" s="3"/>
      <c r="M15" s="3"/>
      <c r="N15">
        <f>IF(F15="完了","",IF(B15="","",TODAY()-B15))</f>
      </c>
      <c r="O15"/>
      <c r="P15"/>
      <c r="Q15"/>
      <c r="R15"/>
      <c r="S15"/>
    </row>
    <row r="16">
      <c r="A16">
        <v>15</v>
      </c>
      <c r="B16" s="3"/>
      <c r="C16"/>
      <c r="D16"/>
      <c r="E16"/>
      <c r="F16"/>
      <c r="G16"/>
      <c r="H16"/>
      <c r="I16"/>
      <c r="J16"/>
      <c r="K16"/>
      <c r="L16" s="3"/>
      <c r="M16" s="3"/>
      <c r="N16">
        <f>IF(F16="完了","",IF(B16="","",TODAY()-B16))</f>
      </c>
      <c r="O16"/>
      <c r="P16"/>
      <c r="Q16"/>
      <c r="R16"/>
      <c r="S16"/>
    </row>
    <row r="17">
      <c r="A17">
        <v>16</v>
      </c>
      <c r="B17" s="3"/>
      <c r="C17"/>
      <c r="D17"/>
      <c r="E17"/>
      <c r="F17"/>
      <c r="G17"/>
      <c r="H17"/>
      <c r="I17"/>
      <c r="J17"/>
      <c r="K17"/>
      <c r="L17" s="3"/>
      <c r="M17" s="3"/>
      <c r="N17">
        <f>IF(F17="完了","",IF(B17="","",TODAY()-B17))</f>
      </c>
      <c r="O17"/>
      <c r="P17"/>
      <c r="Q17"/>
      <c r="R17"/>
      <c r="S17"/>
    </row>
    <row r="18">
      <c r="A18">
        <v>17</v>
      </c>
      <c r="B18" s="3"/>
      <c r="C18"/>
      <c r="D18"/>
      <c r="E18"/>
      <c r="F18"/>
      <c r="G18"/>
      <c r="H18"/>
      <c r="I18"/>
      <c r="J18"/>
      <c r="K18"/>
      <c r="L18" s="3"/>
      <c r="M18" s="3"/>
      <c r="N18">
        <f>IF(F18="完了","",IF(B18="","",TODAY()-B18))</f>
      </c>
      <c r="O18"/>
      <c r="P18"/>
      <c r="Q18"/>
      <c r="R18"/>
      <c r="S18"/>
    </row>
    <row r="19">
      <c r="A19">
        <v>18</v>
      </c>
      <c r="B19" s="3"/>
      <c r="C19"/>
      <c r="D19"/>
      <c r="E19"/>
      <c r="F19"/>
      <c r="G19"/>
      <c r="H19"/>
      <c r="I19"/>
      <c r="J19"/>
      <c r="K19"/>
      <c r="L19" s="3"/>
      <c r="M19" s="3"/>
      <c r="N19">
        <f>IF(F19="完了","",IF(B19="","",TODAY()-B19))</f>
      </c>
      <c r="O19"/>
      <c r="P19"/>
      <c r="Q19"/>
      <c r="R19"/>
      <c r="S19"/>
    </row>
    <row r="20">
      <c r="A20">
        <v>19</v>
      </c>
      <c r="B20" s="3"/>
      <c r="C20"/>
      <c r="D20"/>
      <c r="E20"/>
      <c r="F20"/>
      <c r="G20"/>
      <c r="H20"/>
      <c r="I20"/>
      <c r="J20"/>
      <c r="K20"/>
      <c r="L20" s="3"/>
      <c r="M20" s="3"/>
      <c r="N20">
        <f>IF(F20="完了","",IF(B20="","",TODAY()-B20))</f>
      </c>
      <c r="O20"/>
      <c r="P20"/>
      <c r="Q20"/>
      <c r="R20"/>
      <c r="S20"/>
    </row>
    <row r="21">
      <c r="A21">
        <v>20</v>
      </c>
      <c r="B21" s="3"/>
      <c r="C21"/>
      <c r="D21"/>
      <c r="E21"/>
      <c r="F21"/>
      <c r="G21"/>
      <c r="H21"/>
      <c r="I21"/>
      <c r="J21"/>
      <c r="K21"/>
      <c r="L21" s="3"/>
      <c r="M21" s="3"/>
      <c r="N21">
        <f>IF(F21="完了","",IF(B21="","",TODAY()-B21))</f>
      </c>
      <c r="O21"/>
      <c r="P21"/>
      <c r="Q21"/>
      <c r="R21"/>
      <c r="S21"/>
    </row>
    <row r="22">
      <c r="A22">
        <v>21</v>
      </c>
      <c r="B22" s="3"/>
      <c r="C22"/>
      <c r="D22"/>
      <c r="E22"/>
      <c r="F22"/>
      <c r="G22"/>
      <c r="H22"/>
      <c r="I22"/>
      <c r="J22"/>
      <c r="K22"/>
      <c r="L22" s="3"/>
      <c r="M22" s="3"/>
      <c r="N22">
        <f>IF(F22="完了","",IF(B22="","",TODAY()-B22))</f>
      </c>
      <c r="O22"/>
      <c r="P22"/>
      <c r="Q22"/>
      <c r="R22"/>
      <c r="S22"/>
    </row>
    <row r="23">
      <c r="A23">
        <v>22</v>
      </c>
      <c r="B23" s="3"/>
      <c r="C23"/>
      <c r="D23"/>
      <c r="E23"/>
      <c r="F23"/>
      <c r="G23"/>
      <c r="H23"/>
      <c r="I23"/>
      <c r="J23"/>
      <c r="K23"/>
      <c r="L23" s="3"/>
      <c r="M23" s="3"/>
      <c r="N23">
        <f>IF(F23="完了","",IF(B23="","",TODAY()-B23))</f>
      </c>
      <c r="O23"/>
      <c r="P23"/>
      <c r="Q23"/>
      <c r="R23"/>
      <c r="S23"/>
    </row>
    <row r="24">
      <c r="A24">
        <v>23</v>
      </c>
      <c r="B24" s="3"/>
      <c r="C24"/>
      <c r="D24"/>
      <c r="E24"/>
      <c r="F24"/>
      <c r="G24"/>
      <c r="H24"/>
      <c r="I24"/>
      <c r="J24"/>
      <c r="K24"/>
      <c r="L24" s="3"/>
      <c r="M24" s="3"/>
      <c r="N24">
        <f>IF(F24="完了","",IF(B24="","",TODAY()-B24))</f>
      </c>
      <c r="O24"/>
      <c r="P24"/>
      <c r="Q24"/>
      <c r="R24"/>
      <c r="S24"/>
    </row>
    <row r="25">
      <c r="A25">
        <v>24</v>
      </c>
      <c r="B25" s="3"/>
      <c r="C25"/>
      <c r="D25"/>
      <c r="E25"/>
      <c r="F25"/>
      <c r="G25"/>
      <c r="H25"/>
      <c r="I25"/>
      <c r="J25"/>
      <c r="K25"/>
      <c r="L25" s="3"/>
      <c r="M25" s="3"/>
      <c r="N25">
        <f>IF(F25="完了","",IF(B25="","",TODAY()-B25))</f>
      </c>
      <c r="O25"/>
      <c r="P25"/>
      <c r="Q25"/>
      <c r="R25"/>
      <c r="S25"/>
    </row>
    <row r="26">
      <c r="A26">
        <v>25</v>
      </c>
      <c r="B26" s="3"/>
      <c r="C26"/>
      <c r="D26"/>
      <c r="E26"/>
      <c r="F26"/>
      <c r="G26"/>
      <c r="H26"/>
      <c r="I26"/>
      <c r="J26"/>
      <c r="K26"/>
      <c r="L26" s="3"/>
      <c r="M26" s="3"/>
      <c r="N26">
        <f>IF(F26="完了","",IF(B26="","",TODAY()-B26))</f>
      </c>
      <c r="O26"/>
      <c r="P26"/>
      <c r="Q26"/>
      <c r="R26"/>
      <c r="S26"/>
    </row>
    <row r="27">
      <c r="A27">
        <v>26</v>
      </c>
      <c r="B27" s="3"/>
      <c r="C27"/>
      <c r="D27"/>
      <c r="E27"/>
      <c r="F27"/>
      <c r="G27"/>
      <c r="H27"/>
      <c r="I27"/>
      <c r="J27"/>
      <c r="K27"/>
      <c r="L27" s="3"/>
      <c r="M27" s="3"/>
      <c r="N27">
        <f>IF(F27="完了","",IF(B27="","",TODAY()-B27))</f>
      </c>
      <c r="O27"/>
      <c r="P27"/>
      <c r="Q27"/>
      <c r="R27"/>
      <c r="S27"/>
    </row>
    <row r="28">
      <c r="A28">
        <v>27</v>
      </c>
      <c r="B28" s="3"/>
      <c r="C28"/>
      <c r="D28"/>
      <c r="E28"/>
      <c r="F28"/>
      <c r="G28"/>
      <c r="H28"/>
      <c r="I28"/>
      <c r="J28"/>
      <c r="K28"/>
      <c r="L28" s="3"/>
      <c r="M28" s="3"/>
      <c r="N28">
        <f>IF(F28="完了","",IF(B28="","",TODAY()-B28))</f>
      </c>
      <c r="O28"/>
      <c r="P28"/>
      <c r="Q28"/>
      <c r="R28"/>
      <c r="S28"/>
    </row>
    <row r="29">
      <c r="A29">
        <v>28</v>
      </c>
      <c r="B29" s="3"/>
      <c r="C29"/>
      <c r="D29"/>
      <c r="E29"/>
      <c r="F29"/>
      <c r="G29"/>
      <c r="H29"/>
      <c r="I29"/>
      <c r="J29"/>
      <c r="K29"/>
      <c r="L29" s="3"/>
      <c r="M29" s="3"/>
      <c r="N29">
        <f>IF(F29="完了","",IF(B29="","",TODAY()-B29))</f>
      </c>
      <c r="O29"/>
      <c r="P29"/>
      <c r="Q29"/>
      <c r="R29"/>
      <c r="S29"/>
    </row>
    <row r="30">
      <c r="A30">
        <v>29</v>
      </c>
      <c r="B30" s="3"/>
      <c r="C30"/>
      <c r="D30"/>
      <c r="E30"/>
      <c r="F30"/>
      <c r="G30"/>
      <c r="H30"/>
      <c r="I30"/>
      <c r="J30"/>
      <c r="K30"/>
      <c r="L30" s="3"/>
      <c r="M30" s="3"/>
      <c r="N30">
        <f>IF(F30="完了","",IF(B30="","",TODAY()-B30))</f>
      </c>
      <c r="O30"/>
      <c r="P30"/>
      <c r="Q30"/>
      <c r="R30"/>
      <c r="S30"/>
    </row>
    <row r="31">
      <c r="A31">
        <v>30</v>
      </c>
      <c r="B31" s="3"/>
      <c r="C31"/>
      <c r="D31"/>
      <c r="E31"/>
      <c r="F31"/>
      <c r="G31"/>
      <c r="H31"/>
      <c r="I31"/>
      <c r="J31"/>
      <c r="K31"/>
      <c r="L31" s="3"/>
      <c r="M31" s="3"/>
      <c r="N31">
        <f>IF(F31="完了","",IF(B31="","",TODAY()-B31))</f>
      </c>
      <c r="O31"/>
      <c r="P31"/>
      <c r="Q31"/>
      <c r="R31"/>
      <c r="S31"/>
    </row>
    <row r="32">
      <c r="A32">
        <v>31</v>
      </c>
      <c r="B32" s="3"/>
      <c r="C32"/>
      <c r="D32"/>
      <c r="E32"/>
      <c r="F32"/>
      <c r="G32"/>
      <c r="H32"/>
      <c r="I32"/>
      <c r="J32"/>
      <c r="K32"/>
      <c r="L32" s="3"/>
      <c r="M32" s="3"/>
      <c r="N32">
        <f>IF(F32="完了","",IF(B32="","",TODAY()-B32))</f>
      </c>
      <c r="O32"/>
      <c r="P32"/>
      <c r="Q32"/>
      <c r="R32"/>
      <c r="S32"/>
    </row>
    <row r="33">
      <c r="A33">
        <v>32</v>
      </c>
      <c r="B33" s="3"/>
      <c r="C33"/>
      <c r="D33"/>
      <c r="E33"/>
      <c r="F33"/>
      <c r="G33"/>
      <c r="H33"/>
      <c r="I33"/>
      <c r="J33"/>
      <c r="K33"/>
      <c r="L33" s="3"/>
      <c r="M33" s="3"/>
      <c r="N33">
        <f>IF(F33="完了","",IF(B33="","",TODAY()-B33))</f>
      </c>
      <c r="O33"/>
      <c r="P33"/>
      <c r="Q33"/>
      <c r="R33"/>
      <c r="S33"/>
    </row>
    <row r="34">
      <c r="A34">
        <v>33</v>
      </c>
      <c r="B34" s="3"/>
      <c r="C34"/>
      <c r="D34"/>
      <c r="E34"/>
      <c r="F34"/>
      <c r="G34"/>
      <c r="H34"/>
      <c r="I34"/>
      <c r="J34"/>
      <c r="K34"/>
      <c r="L34" s="3"/>
      <c r="M34" s="3"/>
      <c r="N34">
        <f>IF(F34="完了","",IF(B34="","",TODAY()-B34))</f>
      </c>
      <c r="O34"/>
      <c r="P34"/>
      <c r="Q34"/>
      <c r="R34"/>
      <c r="S34"/>
    </row>
    <row r="35">
      <c r="A35">
        <v>34</v>
      </c>
      <c r="B35" s="3"/>
      <c r="C35"/>
      <c r="D35"/>
      <c r="E35"/>
      <c r="F35"/>
      <c r="G35"/>
      <c r="H35"/>
      <c r="I35"/>
      <c r="J35"/>
      <c r="K35"/>
      <c r="L35" s="3"/>
      <c r="M35" s="3"/>
      <c r="N35">
        <f>IF(F35="完了","",IF(B35="","",TODAY()-B35))</f>
      </c>
      <c r="O35"/>
      <c r="P35"/>
      <c r="Q35"/>
      <c r="R35"/>
      <c r="S35"/>
    </row>
    <row r="36">
      <c r="A36">
        <v>35</v>
      </c>
      <c r="B36" s="3"/>
      <c r="C36"/>
      <c r="D36"/>
      <c r="E36"/>
      <c r="F36"/>
      <c r="G36"/>
      <c r="H36"/>
      <c r="I36"/>
      <c r="J36"/>
      <c r="K36"/>
      <c r="L36" s="3"/>
      <c r="M36" s="3"/>
      <c r="N36">
        <f>IF(F36="完了","",IF(B36="","",TODAY()-B36))</f>
      </c>
      <c r="O36"/>
      <c r="P36"/>
      <c r="Q36"/>
      <c r="R36"/>
      <c r="S36"/>
    </row>
    <row r="37">
      <c r="A37">
        <v>36</v>
      </c>
      <c r="B37" s="3"/>
      <c r="C37"/>
      <c r="D37"/>
      <c r="E37"/>
      <c r="F37"/>
      <c r="G37"/>
      <c r="H37"/>
      <c r="I37"/>
      <c r="J37"/>
      <c r="K37"/>
      <c r="L37" s="3"/>
      <c r="M37" s="3"/>
      <c r="N37">
        <f>IF(F37="完了","",IF(B37="","",TODAY()-B37))</f>
      </c>
      <c r="O37"/>
      <c r="P37"/>
      <c r="Q37"/>
      <c r="R37"/>
      <c r="S37"/>
    </row>
    <row r="38">
      <c r="A38">
        <v>37</v>
      </c>
      <c r="B38" s="3"/>
      <c r="C38"/>
      <c r="D38"/>
      <c r="E38"/>
      <c r="F38"/>
      <c r="G38"/>
      <c r="H38"/>
      <c r="I38"/>
      <c r="J38"/>
      <c r="K38"/>
      <c r="L38" s="3"/>
      <c r="M38" s="3"/>
      <c r="N38">
        <f>IF(F38="完了","",IF(B38="","",TODAY()-B38))</f>
      </c>
      <c r="O38"/>
      <c r="P38"/>
      <c r="Q38"/>
      <c r="R38"/>
      <c r="S38"/>
    </row>
    <row r="39">
      <c r="A39">
        <v>38</v>
      </c>
      <c r="B39" s="3"/>
      <c r="C39"/>
      <c r="D39"/>
      <c r="E39"/>
      <c r="F39"/>
      <c r="G39"/>
      <c r="H39"/>
      <c r="I39"/>
      <c r="J39"/>
      <c r="K39"/>
      <c r="L39" s="3"/>
      <c r="M39" s="3"/>
      <c r="N39">
        <f>IF(F39="完了","",IF(B39="","",TODAY()-B39))</f>
      </c>
      <c r="O39"/>
      <c r="P39"/>
      <c r="Q39"/>
      <c r="R39"/>
      <c r="S39"/>
    </row>
    <row r="40">
      <c r="A40">
        <v>39</v>
      </c>
      <c r="B40" s="3"/>
      <c r="C40"/>
      <c r="D40"/>
      <c r="E40"/>
      <c r="F40"/>
      <c r="G40"/>
      <c r="H40"/>
      <c r="I40"/>
      <c r="J40"/>
      <c r="K40"/>
      <c r="L40" s="3"/>
      <c r="M40" s="3"/>
      <c r="N40">
        <f>IF(F40="完了","",IF(B40="","",TODAY()-B40))</f>
      </c>
      <c r="O40"/>
      <c r="P40"/>
      <c r="Q40"/>
      <c r="R40"/>
      <c r="S40"/>
    </row>
    <row r="41">
      <c r="A41">
        <v>40</v>
      </c>
      <c r="B41" s="3"/>
      <c r="C41"/>
      <c r="D41"/>
      <c r="E41"/>
      <c r="F41"/>
      <c r="G41"/>
      <c r="H41"/>
      <c r="I41"/>
      <c r="J41"/>
      <c r="K41"/>
      <c r="L41" s="3"/>
      <c r="M41" s="3"/>
      <c r="N41">
        <f>IF(F41="完了","",IF(B41="","",TODAY()-B41))</f>
      </c>
      <c r="O41"/>
      <c r="P41"/>
      <c r="Q41"/>
      <c r="R41"/>
      <c r="S41"/>
    </row>
    <row r="42">
      <c r="A42">
        <v>41</v>
      </c>
      <c r="B42" s="3"/>
      <c r="C42"/>
      <c r="D42"/>
      <c r="E42"/>
      <c r="F42"/>
      <c r="G42"/>
      <c r="H42"/>
      <c r="I42"/>
      <c r="J42"/>
      <c r="K42"/>
      <c r="L42" s="3"/>
      <c r="M42" s="3"/>
      <c r="N42">
        <f>IF(F42="完了","",IF(B42="","",TODAY()-B42))</f>
      </c>
      <c r="O42"/>
      <c r="P42"/>
      <c r="Q42"/>
      <c r="R42"/>
      <c r="S42"/>
    </row>
    <row r="43">
      <c r="A43">
        <v>42</v>
      </c>
      <c r="B43" s="3"/>
      <c r="C43"/>
      <c r="D43"/>
      <c r="E43"/>
      <c r="F43"/>
      <c r="G43"/>
      <c r="H43"/>
      <c r="I43"/>
      <c r="J43"/>
      <c r="K43"/>
      <c r="L43" s="3"/>
      <c r="M43" s="3"/>
      <c r="N43">
        <f>IF(F43="完了","",IF(B43="","",TODAY()-B43))</f>
      </c>
      <c r="O43"/>
      <c r="P43"/>
      <c r="Q43"/>
      <c r="R43"/>
      <c r="S43"/>
    </row>
    <row r="44">
      <c r="A44">
        <v>43</v>
      </c>
      <c r="B44" s="3"/>
      <c r="C44"/>
      <c r="D44"/>
      <c r="E44"/>
      <c r="F44"/>
      <c r="G44"/>
      <c r="H44"/>
      <c r="I44"/>
      <c r="J44"/>
      <c r="K44"/>
      <c r="L44" s="3"/>
      <c r="M44" s="3"/>
      <c r="N44">
        <f>IF(F44="完了","",IF(B44="","",TODAY()-B44))</f>
      </c>
      <c r="O44"/>
      <c r="P44"/>
      <c r="Q44"/>
      <c r="R44"/>
      <c r="S44"/>
    </row>
    <row r="45">
      <c r="A45">
        <v>44</v>
      </c>
      <c r="B45" s="3"/>
      <c r="C45"/>
      <c r="D45"/>
      <c r="E45"/>
      <c r="F45"/>
      <c r="G45"/>
      <c r="H45"/>
      <c r="I45"/>
      <c r="J45"/>
      <c r="K45"/>
      <c r="L45" s="3"/>
      <c r="M45" s="3"/>
      <c r="N45">
        <f>IF(F45="完了","",IF(B45="","",TODAY()-B45))</f>
      </c>
      <c r="O45"/>
      <c r="P45"/>
      <c r="Q45"/>
      <c r="R45"/>
      <c r="S45"/>
    </row>
    <row r="46">
      <c r="A46">
        <v>45</v>
      </c>
      <c r="B46" s="3"/>
      <c r="C46"/>
      <c r="D46"/>
      <c r="E46"/>
      <c r="F46"/>
      <c r="G46"/>
      <c r="H46"/>
      <c r="I46"/>
      <c r="J46"/>
      <c r="K46"/>
      <c r="L46" s="3"/>
      <c r="M46" s="3"/>
      <c r="N46">
        <f>IF(F46="完了","",IF(B46="","",TODAY()-B46))</f>
      </c>
      <c r="O46"/>
      <c r="P46"/>
      <c r="Q46"/>
      <c r="R46"/>
      <c r="S46"/>
    </row>
    <row r="47">
      <c r="A47">
        <v>46</v>
      </c>
      <c r="B47" s="3"/>
      <c r="C47"/>
      <c r="D47"/>
      <c r="E47"/>
      <c r="F47"/>
      <c r="G47"/>
      <c r="H47"/>
      <c r="I47"/>
      <c r="J47"/>
      <c r="K47"/>
      <c r="L47" s="3"/>
      <c r="M47" s="3"/>
      <c r="N47">
        <f>IF(F47="完了","",IF(B47="","",TODAY()-B47))</f>
      </c>
      <c r="O47"/>
      <c r="P47"/>
      <c r="Q47"/>
      <c r="R47"/>
      <c r="S47"/>
    </row>
    <row r="48">
      <c r="A48">
        <v>47</v>
      </c>
      <c r="B48" s="3"/>
      <c r="C48"/>
      <c r="D48"/>
      <c r="E48"/>
      <c r="F48"/>
      <c r="G48"/>
      <c r="H48"/>
      <c r="I48"/>
      <c r="J48"/>
      <c r="K48"/>
      <c r="L48" s="3"/>
      <c r="M48" s="3"/>
      <c r="N48">
        <f>IF(F48="完了","",IF(B48="","",TODAY()-B48))</f>
      </c>
      <c r="O48"/>
      <c r="P48"/>
      <c r="Q48"/>
      <c r="R48"/>
      <c r="S48"/>
    </row>
    <row r="49">
      <c r="A49">
        <v>48</v>
      </c>
      <c r="B49" s="3"/>
      <c r="C49"/>
      <c r="D49"/>
      <c r="E49"/>
      <c r="F49"/>
      <c r="G49"/>
      <c r="H49"/>
      <c r="I49"/>
      <c r="J49"/>
      <c r="K49"/>
      <c r="L49" s="3"/>
      <c r="M49" s="3"/>
      <c r="N49">
        <f>IF(F49="完了","",IF(B49="","",TODAY()-B49))</f>
      </c>
      <c r="O49"/>
      <c r="P49"/>
      <c r="Q49"/>
      <c r="R49"/>
      <c r="S49"/>
    </row>
    <row r="50">
      <c r="A50">
        <v>49</v>
      </c>
      <c r="B50" s="3"/>
      <c r="C50"/>
      <c r="D50"/>
      <c r="E50"/>
      <c r="F50"/>
      <c r="G50"/>
      <c r="H50"/>
      <c r="I50"/>
      <c r="J50"/>
      <c r="K50"/>
      <c r="L50" s="3"/>
      <c r="M50" s="3"/>
      <c r="N50">
        <f>IF(F50="完了","",IF(B50="","",TODAY()-B50))</f>
      </c>
      <c r="O50"/>
      <c r="P50"/>
      <c r="Q50"/>
      <c r="R50"/>
      <c r="S50"/>
    </row>
    <row r="51">
      <c r="A51">
        <v>50</v>
      </c>
      <c r="B51" s="3"/>
      <c r="C51"/>
      <c r="D51"/>
      <c r="E51"/>
      <c r="F51"/>
      <c r="G51"/>
      <c r="H51"/>
      <c r="I51"/>
      <c r="J51"/>
      <c r="K51"/>
      <c r="L51" s="3"/>
      <c r="M51" s="3"/>
      <c r="N51">
        <f>IF(F51="完了","",IF(B51="","",TODAY()-B51))</f>
      </c>
      <c r="O51"/>
      <c r="P51"/>
      <c r="Q51"/>
      <c r="R51"/>
      <c r="S51"/>
    </row>
    <row r="52">
      <c r="A52">
        <v>51</v>
      </c>
      <c r="B52" s="3"/>
      <c r="C52"/>
      <c r="D52"/>
      <c r="E52"/>
      <c r="F52"/>
      <c r="G52"/>
      <c r="H52"/>
      <c r="I52"/>
      <c r="J52"/>
      <c r="K52"/>
      <c r="L52" s="3"/>
      <c r="M52" s="3"/>
      <c r="N52">
        <f>IF(F52="完了","",IF(B52="","",TODAY()-B52))</f>
      </c>
      <c r="O52"/>
      <c r="P52"/>
      <c r="Q52"/>
      <c r="R52"/>
      <c r="S52"/>
    </row>
    <row r="53">
      <c r="A53">
        <v>52</v>
      </c>
      <c r="B53" s="3"/>
      <c r="C53"/>
      <c r="D53"/>
      <c r="E53"/>
      <c r="F53"/>
      <c r="G53"/>
      <c r="H53"/>
      <c r="I53"/>
      <c r="J53"/>
      <c r="K53"/>
      <c r="L53" s="3"/>
      <c r="M53" s="3"/>
      <c r="N53">
        <f>IF(F53="完了","",IF(B53="","",TODAY()-B53))</f>
      </c>
      <c r="O53"/>
      <c r="P53"/>
      <c r="Q53"/>
      <c r="R53"/>
      <c r="S53"/>
    </row>
    <row r="54">
      <c r="A54">
        <v>53</v>
      </c>
      <c r="B54" s="3"/>
      <c r="C54"/>
      <c r="D54"/>
      <c r="E54"/>
      <c r="F54"/>
      <c r="G54"/>
      <c r="H54"/>
      <c r="I54"/>
      <c r="J54"/>
      <c r="K54"/>
      <c r="L54" s="3"/>
      <c r="M54" s="3"/>
      <c r="N54">
        <f>IF(F54="完了","",IF(B54="","",TODAY()-B54))</f>
      </c>
      <c r="O54"/>
      <c r="P54"/>
      <c r="Q54"/>
      <c r="R54"/>
      <c r="S54"/>
    </row>
    <row r="55">
      <c r="A55">
        <v>54</v>
      </c>
      <c r="B55" s="3"/>
      <c r="C55"/>
      <c r="D55"/>
      <c r="E55"/>
      <c r="F55"/>
      <c r="G55"/>
      <c r="H55"/>
      <c r="I55"/>
      <c r="J55"/>
      <c r="K55"/>
      <c r="L55" s="3"/>
      <c r="M55" s="3"/>
      <c r="N55">
        <f>IF(F55="完了","",IF(B55="","",TODAY()-B55))</f>
      </c>
      <c r="O55"/>
      <c r="P55"/>
      <c r="Q55"/>
      <c r="R55"/>
      <c r="S55"/>
    </row>
    <row r="56">
      <c r="A56">
        <v>55</v>
      </c>
      <c r="B56" s="3"/>
      <c r="C56"/>
      <c r="D56"/>
      <c r="E56"/>
      <c r="F56"/>
      <c r="G56"/>
      <c r="H56"/>
      <c r="I56"/>
      <c r="J56"/>
      <c r="K56"/>
      <c r="L56" s="3"/>
      <c r="M56" s="3"/>
      <c r="N56">
        <f>IF(F56="完了","",IF(B56="","",TODAY()-B56))</f>
      </c>
      <c r="O56"/>
      <c r="P56"/>
      <c r="Q56"/>
      <c r="R56"/>
      <c r="S56"/>
    </row>
    <row r="57">
      <c r="A57">
        <v>56</v>
      </c>
      <c r="B57" s="3"/>
      <c r="C57"/>
      <c r="D57"/>
      <c r="E57"/>
      <c r="F57"/>
      <c r="G57"/>
      <c r="H57"/>
      <c r="I57"/>
      <c r="J57"/>
      <c r="K57"/>
      <c r="L57" s="3"/>
      <c r="M57" s="3"/>
      <c r="N57">
        <f>IF(F57="完了","",IF(B57="","",TODAY()-B57))</f>
      </c>
      <c r="O57"/>
      <c r="P57"/>
      <c r="Q57"/>
      <c r="R57"/>
      <c r="S57"/>
    </row>
    <row r="58">
      <c r="A58">
        <v>57</v>
      </c>
      <c r="B58" s="3"/>
      <c r="C58"/>
      <c r="D58"/>
      <c r="E58"/>
      <c r="F58"/>
      <c r="G58"/>
      <c r="H58"/>
      <c r="I58"/>
      <c r="J58"/>
      <c r="K58"/>
      <c r="L58" s="3"/>
      <c r="M58" s="3"/>
      <c r="N58">
        <f>IF(F58="完了","",IF(B58="","",TODAY()-B58))</f>
      </c>
      <c r="O58"/>
      <c r="P58"/>
      <c r="Q58"/>
      <c r="R58"/>
      <c r="S58"/>
    </row>
    <row r="59">
      <c r="A59">
        <v>58</v>
      </c>
      <c r="B59" s="3"/>
      <c r="C59"/>
      <c r="D59"/>
      <c r="E59"/>
      <c r="F59"/>
      <c r="G59"/>
      <c r="H59"/>
      <c r="I59"/>
      <c r="J59"/>
      <c r="K59"/>
      <c r="L59" s="3"/>
      <c r="M59" s="3"/>
      <c r="N59">
        <f>IF(F59="完了","",IF(B59="","",TODAY()-B59))</f>
      </c>
      <c r="O59"/>
      <c r="P59"/>
      <c r="Q59"/>
      <c r="R59"/>
      <c r="S59"/>
    </row>
    <row r="60">
      <c r="A60">
        <v>59</v>
      </c>
      <c r="B60" s="3"/>
      <c r="C60"/>
      <c r="D60"/>
      <c r="E60"/>
      <c r="F60"/>
      <c r="G60"/>
      <c r="H60"/>
      <c r="I60"/>
      <c r="J60"/>
      <c r="K60"/>
      <c r="L60" s="3"/>
      <c r="M60" s="3"/>
      <c r="N60">
        <f>IF(F60="完了","",IF(B60="","",TODAY()-B60))</f>
      </c>
      <c r="O60"/>
      <c r="P60"/>
      <c r="Q60"/>
      <c r="R60"/>
      <c r="S60"/>
    </row>
    <row r="61">
      <c r="A61">
        <v>60</v>
      </c>
      <c r="B61" s="3"/>
      <c r="C61"/>
      <c r="D61"/>
      <c r="E61"/>
      <c r="F61"/>
      <c r="G61"/>
      <c r="H61"/>
      <c r="I61"/>
      <c r="J61"/>
      <c r="K61"/>
      <c r="L61" s="3"/>
      <c r="M61" s="3"/>
      <c r="N61">
        <f>IF(F61="完了","",IF(B61="","",TODAY()-B61))</f>
      </c>
      <c r="O61"/>
      <c r="P61"/>
      <c r="Q61"/>
      <c r="R61"/>
      <c r="S61"/>
    </row>
    <row r="62">
      <c r="A62">
        <v>61</v>
      </c>
      <c r="B62" s="3"/>
      <c r="C62"/>
      <c r="D62"/>
      <c r="E62"/>
      <c r="F62"/>
      <c r="G62"/>
      <c r="H62"/>
      <c r="I62"/>
      <c r="J62"/>
      <c r="K62"/>
      <c r="L62" s="3"/>
      <c r="M62" s="3"/>
      <c r="N62">
        <f>IF(F62="完了","",IF(B62="","",TODAY()-B62))</f>
      </c>
      <c r="O62"/>
      <c r="P62"/>
      <c r="Q62"/>
      <c r="R62"/>
      <c r="S62"/>
    </row>
    <row r="63">
      <c r="A63">
        <v>62</v>
      </c>
      <c r="B63" s="3"/>
      <c r="C63"/>
      <c r="D63"/>
      <c r="E63"/>
      <c r="F63"/>
      <c r="G63"/>
      <c r="H63"/>
      <c r="I63"/>
      <c r="J63"/>
      <c r="K63"/>
      <c r="L63" s="3"/>
      <c r="M63" s="3"/>
      <c r="N63">
        <f>IF(F63="完了","",IF(B63="","",TODAY()-B63))</f>
      </c>
      <c r="O63"/>
      <c r="P63"/>
      <c r="Q63"/>
      <c r="R63"/>
      <c r="S63"/>
    </row>
    <row r="64">
      <c r="A64">
        <v>63</v>
      </c>
      <c r="B64" s="3"/>
      <c r="C64"/>
      <c r="D64"/>
      <c r="E64"/>
      <c r="F64"/>
      <c r="G64"/>
      <c r="H64"/>
      <c r="I64"/>
      <c r="J64"/>
      <c r="K64"/>
      <c r="L64" s="3"/>
      <c r="M64" s="3"/>
      <c r="N64">
        <f>IF(F64="完了","",IF(B64="","",TODAY()-B64))</f>
      </c>
      <c r="O64"/>
      <c r="P64"/>
      <c r="Q64"/>
      <c r="R64"/>
      <c r="S64"/>
    </row>
    <row r="65">
      <c r="A65">
        <v>64</v>
      </c>
      <c r="B65" s="3"/>
      <c r="C65"/>
      <c r="D65"/>
      <c r="E65"/>
      <c r="F65"/>
      <c r="G65"/>
      <c r="H65"/>
      <c r="I65"/>
      <c r="J65"/>
      <c r="K65"/>
      <c r="L65" s="3"/>
      <c r="M65" s="3"/>
      <c r="N65">
        <f>IF(F65="完了","",IF(B65="","",TODAY()-B65))</f>
      </c>
      <c r="O65"/>
      <c r="P65"/>
      <c r="Q65"/>
      <c r="R65"/>
      <c r="S65"/>
    </row>
    <row r="66">
      <c r="A66">
        <v>65</v>
      </c>
      <c r="B66" s="3"/>
      <c r="C66"/>
      <c r="D66"/>
      <c r="E66"/>
      <c r="F66"/>
      <c r="G66"/>
      <c r="H66"/>
      <c r="I66"/>
      <c r="J66"/>
      <c r="K66"/>
      <c r="L66" s="3"/>
      <c r="M66" s="3"/>
      <c r="N66">
        <f>IF(F66="完了","",IF(B66="","",TODAY()-B66))</f>
      </c>
      <c r="O66"/>
      <c r="P66"/>
      <c r="Q66"/>
      <c r="R66"/>
      <c r="S66"/>
    </row>
    <row r="67">
      <c r="A67">
        <v>66</v>
      </c>
      <c r="B67" s="3"/>
      <c r="C67"/>
      <c r="D67"/>
      <c r="E67"/>
      <c r="F67"/>
      <c r="G67"/>
      <c r="H67"/>
      <c r="I67"/>
      <c r="J67"/>
      <c r="K67"/>
      <c r="L67" s="3"/>
      <c r="M67" s="3"/>
      <c r="N67">
        <f>IF(F67="完了","",IF(B67="","",TODAY()-B67))</f>
      </c>
      <c r="O67"/>
      <c r="P67"/>
      <c r="Q67"/>
      <c r="R67"/>
      <c r="S67"/>
    </row>
    <row r="68">
      <c r="A68">
        <v>67</v>
      </c>
      <c r="B68" s="3"/>
      <c r="C68"/>
      <c r="D68"/>
      <c r="E68"/>
      <c r="F68"/>
      <c r="G68"/>
      <c r="H68"/>
      <c r="I68"/>
      <c r="J68"/>
      <c r="K68"/>
      <c r="L68" s="3"/>
      <c r="M68" s="3"/>
      <c r="N68">
        <f>IF(F68="完了","",IF(B68="","",TODAY()-B68))</f>
      </c>
      <c r="O68"/>
      <c r="P68"/>
      <c r="Q68"/>
      <c r="R68"/>
      <c r="S68"/>
    </row>
    <row r="69">
      <c r="A69">
        <v>68</v>
      </c>
      <c r="B69" s="3"/>
      <c r="C69"/>
      <c r="D69"/>
      <c r="E69"/>
      <c r="F69"/>
      <c r="G69"/>
      <c r="H69"/>
      <c r="I69"/>
      <c r="J69"/>
      <c r="K69"/>
      <c r="L69" s="3"/>
      <c r="M69" s="3"/>
      <c r="N69">
        <f>IF(F69="完了","",IF(B69="","",TODAY()-B69))</f>
      </c>
      <c r="O69"/>
      <c r="P69"/>
      <c r="Q69"/>
      <c r="R69"/>
      <c r="S69"/>
    </row>
    <row r="70">
      <c r="A70">
        <v>69</v>
      </c>
      <c r="B70" s="3"/>
      <c r="C70"/>
      <c r="D70"/>
      <c r="E70"/>
      <c r="F70"/>
      <c r="G70"/>
      <c r="H70"/>
      <c r="I70"/>
      <c r="J70"/>
      <c r="K70"/>
      <c r="L70" s="3"/>
      <c r="M70" s="3"/>
      <c r="N70">
        <f>IF(F70="完了","",IF(B70="","",TODAY()-B70))</f>
      </c>
      <c r="O70"/>
      <c r="P70"/>
      <c r="Q70"/>
      <c r="R70"/>
      <c r="S70"/>
    </row>
    <row r="71">
      <c r="A71">
        <v>70</v>
      </c>
      <c r="B71" s="3"/>
      <c r="C71"/>
      <c r="D71"/>
      <c r="E71"/>
      <c r="F71"/>
      <c r="G71"/>
      <c r="H71"/>
      <c r="I71"/>
      <c r="J71"/>
      <c r="K71"/>
      <c r="L71" s="3"/>
      <c r="M71" s="3"/>
      <c r="N71">
        <f>IF(F71="完了","",IF(B71="","",TODAY()-B71))</f>
      </c>
      <c r="O71"/>
      <c r="P71"/>
      <c r="Q71"/>
      <c r="R71"/>
      <c r="S71"/>
    </row>
    <row r="72">
      <c r="A72">
        <v>71</v>
      </c>
      <c r="B72" s="3"/>
      <c r="C72"/>
      <c r="D72"/>
      <c r="E72"/>
      <c r="F72"/>
      <c r="G72"/>
      <c r="H72"/>
      <c r="I72"/>
      <c r="J72"/>
      <c r="K72"/>
      <c r="L72" s="3"/>
      <c r="M72" s="3"/>
      <c r="N72">
        <f>IF(F72="完了","",IF(B72="","",TODAY()-B72))</f>
      </c>
      <c r="O72"/>
      <c r="P72"/>
      <c r="Q72"/>
      <c r="R72"/>
      <c r="S72"/>
    </row>
    <row r="73">
      <c r="A73">
        <v>72</v>
      </c>
      <c r="B73" s="3"/>
      <c r="C73"/>
      <c r="D73"/>
      <c r="E73"/>
      <c r="F73"/>
      <c r="G73"/>
      <c r="H73"/>
      <c r="I73"/>
      <c r="J73"/>
      <c r="K73"/>
      <c r="L73" s="3"/>
      <c r="M73" s="3"/>
      <c r="N73">
        <f>IF(F73="完了","",IF(B73="","",TODAY()-B73))</f>
      </c>
      <c r="O73"/>
      <c r="P73"/>
      <c r="Q73"/>
      <c r="R73"/>
      <c r="S73"/>
    </row>
    <row r="74">
      <c r="A74">
        <v>73</v>
      </c>
      <c r="B74" s="3"/>
      <c r="C74"/>
      <c r="D74"/>
      <c r="E74"/>
      <c r="F74"/>
      <c r="G74"/>
      <c r="H74"/>
      <c r="I74"/>
      <c r="J74"/>
      <c r="K74"/>
      <c r="L74" s="3"/>
      <c r="M74" s="3"/>
      <c r="N74">
        <f>IF(F74="完了","",IF(B74="","",TODAY()-B74))</f>
      </c>
      <c r="O74"/>
      <c r="P74"/>
      <c r="Q74"/>
      <c r="R74"/>
      <c r="S74"/>
    </row>
    <row r="75">
      <c r="A75">
        <v>74</v>
      </c>
      <c r="B75" s="3"/>
      <c r="C75"/>
      <c r="D75"/>
      <c r="E75"/>
      <c r="F75"/>
      <c r="G75"/>
      <c r="H75"/>
      <c r="I75"/>
      <c r="J75"/>
      <c r="K75"/>
      <c r="L75" s="3"/>
      <c r="M75" s="3"/>
      <c r="N75">
        <f>IF(F75="完了","",IF(B75="","",TODAY()-B75))</f>
      </c>
      <c r="O75"/>
      <c r="P75"/>
      <c r="Q75"/>
      <c r="R75"/>
      <c r="S75"/>
    </row>
    <row r="76">
      <c r="A76">
        <v>75</v>
      </c>
      <c r="B76" s="3"/>
      <c r="C76"/>
      <c r="D76"/>
      <c r="E76"/>
      <c r="F76"/>
      <c r="G76"/>
      <c r="H76"/>
      <c r="I76"/>
      <c r="J76"/>
      <c r="K76"/>
      <c r="L76" s="3"/>
      <c r="M76" s="3"/>
      <c r="N76">
        <f>IF(F76="完了","",IF(B76="","",TODAY()-B76))</f>
      </c>
      <c r="O76"/>
      <c r="P76"/>
      <c r="Q76"/>
      <c r="R76"/>
      <c r="S76"/>
    </row>
    <row r="77">
      <c r="A77">
        <v>76</v>
      </c>
      <c r="B77" s="3"/>
      <c r="C77"/>
      <c r="D77"/>
      <c r="E77"/>
      <c r="F77"/>
      <c r="G77"/>
      <c r="H77"/>
      <c r="I77"/>
      <c r="J77"/>
      <c r="K77"/>
      <c r="L77" s="3"/>
      <c r="M77" s="3"/>
      <c r="N77">
        <f>IF(F77="完了","",IF(B77="","",TODAY()-B77))</f>
      </c>
      <c r="O77"/>
      <c r="P77"/>
      <c r="Q77"/>
      <c r="R77"/>
      <c r="S77"/>
    </row>
    <row r="78">
      <c r="A78">
        <v>77</v>
      </c>
      <c r="B78" s="3"/>
      <c r="C78"/>
      <c r="D78"/>
      <c r="E78"/>
      <c r="F78"/>
      <c r="G78"/>
      <c r="H78"/>
      <c r="I78"/>
      <c r="J78"/>
      <c r="K78"/>
      <c r="L78" s="3"/>
      <c r="M78" s="3"/>
      <c r="N78">
        <f>IF(F78="完了","",IF(B78="","",TODAY()-B78))</f>
      </c>
      <c r="O78"/>
      <c r="P78"/>
      <c r="Q78"/>
      <c r="R78"/>
      <c r="S78"/>
    </row>
    <row r="79">
      <c r="A79">
        <v>78</v>
      </c>
      <c r="B79" s="3"/>
      <c r="C79"/>
      <c r="D79"/>
      <c r="E79"/>
      <c r="F79"/>
      <c r="G79"/>
      <c r="H79"/>
      <c r="I79"/>
      <c r="J79"/>
      <c r="K79"/>
      <c r="L79" s="3"/>
      <c r="M79" s="3"/>
      <c r="N79">
        <f>IF(F79="完了","",IF(B79="","",TODAY()-B79))</f>
      </c>
      <c r="O79"/>
      <c r="P79"/>
      <c r="Q79"/>
      <c r="R79"/>
      <c r="S79"/>
    </row>
    <row r="80">
      <c r="A80">
        <v>79</v>
      </c>
      <c r="B80" s="3"/>
      <c r="C80"/>
      <c r="D80"/>
      <c r="E80"/>
      <c r="F80"/>
      <c r="G80"/>
      <c r="H80"/>
      <c r="I80"/>
      <c r="J80"/>
      <c r="K80"/>
      <c r="L80" s="3"/>
      <c r="M80" s="3"/>
      <c r="N80">
        <f>IF(F80="完了","",IF(B80="","",TODAY()-B80))</f>
      </c>
      <c r="O80"/>
      <c r="P80"/>
      <c r="Q80"/>
      <c r="R80"/>
      <c r="S80"/>
    </row>
    <row r="81">
      <c r="A81">
        <v>80</v>
      </c>
      <c r="B81" s="3"/>
      <c r="C81"/>
      <c r="D81"/>
      <c r="E81"/>
      <c r="F81"/>
      <c r="G81"/>
      <c r="H81"/>
      <c r="I81"/>
      <c r="J81"/>
      <c r="K81"/>
      <c r="L81" s="3"/>
      <c r="M81" s="3"/>
      <c r="N81">
        <f>IF(F81="完了","",IF(B81="","",TODAY()-B81))</f>
      </c>
      <c r="O81"/>
      <c r="P81"/>
      <c r="Q81"/>
      <c r="R81"/>
      <c r="S81"/>
    </row>
    <row r="82">
      <c r="A82">
        <v>81</v>
      </c>
      <c r="B82" s="3"/>
      <c r="C82"/>
      <c r="D82"/>
      <c r="E82"/>
      <c r="F82"/>
      <c r="G82"/>
      <c r="H82"/>
      <c r="I82"/>
      <c r="J82"/>
      <c r="K82"/>
      <c r="L82" s="3"/>
      <c r="M82" s="3"/>
      <c r="N82">
        <f>IF(F82="完了","",IF(B82="","",TODAY()-B82))</f>
      </c>
      <c r="O82"/>
      <c r="P82"/>
      <c r="Q82"/>
      <c r="R82"/>
      <c r="S82"/>
    </row>
    <row r="83">
      <c r="A83">
        <v>82</v>
      </c>
      <c r="B83" s="3"/>
      <c r="C83"/>
      <c r="D83"/>
      <c r="E83"/>
      <c r="F83"/>
      <c r="G83"/>
      <c r="H83"/>
      <c r="I83"/>
      <c r="J83"/>
      <c r="K83"/>
      <c r="L83" s="3"/>
      <c r="M83" s="3"/>
      <c r="N83">
        <f>IF(F83="完了","",IF(B83="","",TODAY()-B83))</f>
      </c>
      <c r="O83"/>
      <c r="P83"/>
      <c r="Q83"/>
      <c r="R83"/>
      <c r="S83"/>
    </row>
    <row r="84">
      <c r="A84">
        <v>83</v>
      </c>
      <c r="B84" s="3"/>
      <c r="C84"/>
      <c r="D84"/>
      <c r="E84"/>
      <c r="F84"/>
      <c r="G84"/>
      <c r="H84"/>
      <c r="I84"/>
      <c r="J84"/>
      <c r="K84"/>
      <c r="L84" s="3"/>
      <c r="M84" s="3"/>
      <c r="N84">
        <f>IF(F84="完了","",IF(B84="","",TODAY()-B84))</f>
      </c>
      <c r="O84"/>
      <c r="P84"/>
      <c r="Q84"/>
      <c r="R84"/>
      <c r="S84"/>
    </row>
    <row r="85">
      <c r="A85">
        <v>84</v>
      </c>
      <c r="B85" s="3"/>
      <c r="C85"/>
      <c r="D85"/>
      <c r="E85"/>
      <c r="F85"/>
      <c r="G85"/>
      <c r="H85"/>
      <c r="I85"/>
      <c r="J85"/>
      <c r="K85"/>
      <c r="L85" s="3"/>
      <c r="M85" s="3"/>
      <c r="N85">
        <f>IF(F85="完了","",IF(B85="","",TODAY()-B85))</f>
      </c>
      <c r="O85"/>
      <c r="P85"/>
      <c r="Q85"/>
      <c r="R85"/>
      <c r="S85"/>
    </row>
    <row r="86">
      <c r="A86">
        <v>85</v>
      </c>
      <c r="B86" s="3"/>
      <c r="C86"/>
      <c r="D86"/>
      <c r="E86"/>
      <c r="F86"/>
      <c r="G86"/>
      <c r="H86"/>
      <c r="I86"/>
      <c r="J86"/>
      <c r="K86"/>
      <c r="L86" s="3"/>
      <c r="M86" s="3"/>
      <c r="N86">
        <f>IF(F86="完了","",IF(B86="","",TODAY()-B86))</f>
      </c>
      <c r="O86"/>
      <c r="P86"/>
      <c r="Q86"/>
      <c r="R86"/>
      <c r="S86"/>
    </row>
    <row r="87">
      <c r="A87">
        <v>86</v>
      </c>
      <c r="B87" s="3"/>
      <c r="C87"/>
      <c r="D87"/>
      <c r="E87"/>
      <c r="F87"/>
      <c r="G87"/>
      <c r="H87"/>
      <c r="I87"/>
      <c r="J87"/>
      <c r="K87"/>
      <c r="L87" s="3"/>
      <c r="M87" s="3"/>
      <c r="N87">
        <f>IF(F87="完了","",IF(B87="","",TODAY()-B87))</f>
      </c>
      <c r="O87"/>
      <c r="P87"/>
      <c r="Q87"/>
      <c r="R87"/>
      <c r="S87"/>
    </row>
    <row r="88">
      <c r="A88">
        <v>87</v>
      </c>
      <c r="B88" s="3"/>
      <c r="C88"/>
      <c r="D88"/>
      <c r="E88"/>
      <c r="F88"/>
      <c r="G88"/>
      <c r="H88"/>
      <c r="I88"/>
      <c r="J88"/>
      <c r="K88"/>
      <c r="L88" s="3"/>
      <c r="M88" s="3"/>
      <c r="N88">
        <f>IF(F88="完了","",IF(B88="","",TODAY()-B88))</f>
      </c>
      <c r="O88"/>
      <c r="P88"/>
      <c r="Q88"/>
      <c r="R88"/>
      <c r="S88"/>
    </row>
    <row r="89">
      <c r="A89">
        <v>88</v>
      </c>
      <c r="B89" s="3"/>
      <c r="C89"/>
      <c r="D89"/>
      <c r="E89"/>
      <c r="F89"/>
      <c r="G89"/>
      <c r="H89"/>
      <c r="I89"/>
      <c r="J89"/>
      <c r="K89"/>
      <c r="L89" s="3"/>
      <c r="M89" s="3"/>
      <c r="N89">
        <f>IF(F89="完了","",IF(B89="","",TODAY()-B89))</f>
      </c>
      <c r="O89"/>
      <c r="P89"/>
      <c r="Q89"/>
      <c r="R89"/>
      <c r="S89"/>
    </row>
    <row r="90">
      <c r="A90">
        <v>89</v>
      </c>
      <c r="B90" s="3"/>
      <c r="C90"/>
      <c r="D90"/>
      <c r="E90"/>
      <c r="F90"/>
      <c r="G90"/>
      <c r="H90"/>
      <c r="I90"/>
      <c r="J90"/>
      <c r="K90"/>
      <c r="L90" s="3"/>
      <c r="M90" s="3"/>
      <c r="N90">
        <f>IF(F90="完了","",IF(B90="","",TODAY()-B90))</f>
      </c>
      <c r="O90"/>
      <c r="P90"/>
      <c r="Q90"/>
      <c r="R90"/>
      <c r="S90"/>
    </row>
    <row r="91">
      <c r="A91">
        <v>90</v>
      </c>
      <c r="B91" s="3"/>
      <c r="C91"/>
      <c r="D91"/>
      <c r="E91"/>
      <c r="F91"/>
      <c r="G91"/>
      <c r="H91"/>
      <c r="I91"/>
      <c r="J91"/>
      <c r="K91"/>
      <c r="L91" s="3"/>
      <c r="M91" s="3"/>
      <c r="N91">
        <f>IF(F91="完了","",IF(B91="","",TODAY()-B91))</f>
      </c>
      <c r="O91"/>
      <c r="P91"/>
      <c r="Q91"/>
      <c r="R91"/>
      <c r="S91"/>
    </row>
    <row r="92">
      <c r="A92">
        <v>91</v>
      </c>
      <c r="B92" s="3"/>
      <c r="C92"/>
      <c r="D92"/>
      <c r="E92"/>
      <c r="F92"/>
      <c r="G92"/>
      <c r="H92"/>
      <c r="I92"/>
      <c r="J92"/>
      <c r="K92"/>
      <c r="L92" s="3"/>
      <c r="M92" s="3"/>
      <c r="N92">
        <f>IF(F92="完了","",IF(B92="","",TODAY()-B92))</f>
      </c>
      <c r="O92"/>
      <c r="P92"/>
      <c r="Q92"/>
      <c r="R92"/>
      <c r="S92"/>
    </row>
    <row r="93">
      <c r="A93">
        <v>92</v>
      </c>
      <c r="B93" s="3"/>
      <c r="C93"/>
      <c r="D93"/>
      <c r="E93"/>
      <c r="F93"/>
      <c r="G93"/>
      <c r="H93"/>
      <c r="I93"/>
      <c r="J93"/>
      <c r="K93"/>
      <c r="L93" s="3"/>
      <c r="M93" s="3"/>
      <c r="N93">
        <f>IF(F93="完了","",IF(B93="","",TODAY()-B93))</f>
      </c>
      <c r="O93"/>
      <c r="P93"/>
      <c r="Q93"/>
      <c r="R93"/>
      <c r="S93"/>
    </row>
    <row r="94">
      <c r="A94">
        <v>93</v>
      </c>
      <c r="B94" s="3"/>
      <c r="C94"/>
      <c r="D94"/>
      <c r="E94"/>
      <c r="F94"/>
      <c r="G94"/>
      <c r="H94"/>
      <c r="I94"/>
      <c r="J94"/>
      <c r="K94"/>
      <c r="L94" s="3"/>
      <c r="M94" s="3"/>
      <c r="N94">
        <f>IF(F94="完了","",IF(B94="","",TODAY()-B94))</f>
      </c>
      <c r="O94"/>
      <c r="P94"/>
      <c r="Q94"/>
      <c r="R94"/>
      <c r="S94"/>
    </row>
    <row r="95">
      <c r="A95">
        <v>94</v>
      </c>
      <c r="B95" s="3"/>
      <c r="C95"/>
      <c r="D95"/>
      <c r="E95"/>
      <c r="F95"/>
      <c r="G95"/>
      <c r="H95"/>
      <c r="I95"/>
      <c r="J95"/>
      <c r="K95"/>
      <c r="L95" s="3"/>
      <c r="M95" s="3"/>
      <c r="N95">
        <f>IF(F95="完了","",IF(B95="","",TODAY()-B95))</f>
      </c>
      <c r="O95"/>
      <c r="P95"/>
      <c r="Q95"/>
      <c r="R95"/>
      <c r="S95"/>
    </row>
    <row r="96">
      <c r="A96">
        <v>95</v>
      </c>
      <c r="B96" s="3"/>
      <c r="C96"/>
      <c r="D96"/>
      <c r="E96"/>
      <c r="F96"/>
      <c r="G96"/>
      <c r="H96"/>
      <c r="I96"/>
      <c r="J96"/>
      <c r="K96"/>
      <c r="L96" s="3"/>
      <c r="M96" s="3"/>
      <c r="N96">
        <f>IF(F96="完了","",IF(B96="","",TODAY()-B96))</f>
      </c>
      <c r="O96"/>
      <c r="P96"/>
      <c r="Q96"/>
      <c r="R96"/>
      <c r="S96"/>
    </row>
    <row r="97">
      <c r="A97">
        <v>96</v>
      </c>
      <c r="B97" s="3"/>
      <c r="C97"/>
      <c r="D97"/>
      <c r="E97"/>
      <c r="F97"/>
      <c r="G97"/>
      <c r="H97"/>
      <c r="I97"/>
      <c r="J97"/>
      <c r="K97"/>
      <c r="L97" s="3"/>
      <c r="M97" s="3"/>
      <c r="N97">
        <f>IF(F97="完了","",IF(B97="","",TODAY()-B97))</f>
      </c>
      <c r="O97"/>
      <c r="P97"/>
      <c r="Q97"/>
      <c r="R97"/>
      <c r="S97"/>
    </row>
    <row r="98">
      <c r="A98">
        <v>97</v>
      </c>
      <c r="B98" s="3"/>
      <c r="C98"/>
      <c r="D98"/>
      <c r="E98"/>
      <c r="F98"/>
      <c r="G98"/>
      <c r="H98"/>
      <c r="I98"/>
      <c r="J98"/>
      <c r="K98"/>
      <c r="L98" s="3"/>
      <c r="M98" s="3"/>
      <c r="N98">
        <f>IF(F98="完了","",IF(B98="","",TODAY()-B98))</f>
      </c>
      <c r="O98"/>
      <c r="P98"/>
      <c r="Q98"/>
      <c r="R98"/>
      <c r="S98"/>
    </row>
    <row r="99">
      <c r="A99">
        <v>98</v>
      </c>
      <c r="B99" s="3"/>
      <c r="C99"/>
      <c r="D99"/>
      <c r="E99"/>
      <c r="F99"/>
      <c r="G99"/>
      <c r="H99"/>
      <c r="I99"/>
      <c r="J99"/>
      <c r="K99"/>
      <c r="L99" s="3"/>
      <c r="M99" s="3"/>
      <c r="N99">
        <f>IF(F99="完了","",IF(B99="","",TODAY()-B99))</f>
      </c>
      <c r="O99"/>
      <c r="P99"/>
      <c r="Q99"/>
      <c r="R99"/>
      <c r="S99"/>
    </row>
    <row r="100">
      <c r="A100">
        <v>99</v>
      </c>
      <c r="B100" s="3"/>
      <c r="C100"/>
      <c r="D100"/>
      <c r="E100"/>
      <c r="F100"/>
      <c r="G100"/>
      <c r="H100"/>
      <c r="I100"/>
      <c r="J100"/>
      <c r="K100"/>
      <c r="L100" s="3"/>
      <c r="M100" s="3"/>
      <c r="N100">
        <f>IF(F100="完了","",IF(B100="","",TODAY()-B100))</f>
      </c>
      <c r="O100"/>
      <c r="P100"/>
      <c r="Q100"/>
      <c r="R100"/>
      <c r="S100"/>
    </row>
    <row r="101">
      <c r="A101">
        <v>100</v>
      </c>
      <c r="B101" s="3"/>
      <c r="C101"/>
      <c r="D101"/>
      <c r="E101"/>
      <c r="F101"/>
      <c r="G101"/>
      <c r="H101"/>
      <c r="I101"/>
      <c r="J101"/>
      <c r="K101"/>
      <c r="L101" s="3"/>
      <c r="M101" s="3"/>
      <c r="N101">
        <f>IF(F101="完了","",IF(B101="","",TODAY()-B101))</f>
      </c>
      <c r="O101"/>
      <c r="P101"/>
      <c r="Q101"/>
      <c r="R101"/>
      <c r="S101"/>
    </row>
  </sheetData>
  <autoFilter ref="A1:S101"/>
  <dataValidations count="4">
    <dataValidation type="list" allowBlank="1" showErrorMessage="1" sqref="C2:C101">
      <formula1>"課題,指摘,質問,改善要望,障害"</formula1>
    </dataValidation>
    <dataValidation type="list" allowBlank="1" showErrorMessage="1" sqref="D2:D101">
      <formula1>"緊急,高,中,低"</formula1>
    </dataValidation>
    <dataValidation type="list" allowBlank="1" showErrorMessage="1" sqref="E2:E101">
      <formula1>"業務停止,業務影響あり,軽微,影響なし"</formula1>
    </dataValidation>
    <dataValidation type="list" allowBlank="1" showErrorMessage="1" sqref="F2:F101">
      <formula1>"未対応,対応中,確認待ち,完了,保留,取下げ"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4" customWidth="1"/>
    <col min="2" max="2" width="14" customWidth="1"/>
    <col min="3" max="3" width="14" customWidth="1"/>
    <col min="4" max="4" width="14" customWidth="1"/>
  </cols>
  <sheetData>
    <row r="1" ht="24" customHeight="1">
      <c r="A1" t="inlineStr" s="1">
        <is>
          <t>運用保守 課題・指摘サマリ</t>
        </is>
      </c>
      <c r="B1" s="1"/>
      <c r="C1" s="1"/>
      <c r="D1" s="1"/>
    </row>
    <row r="2">
      <c r="A2" t="inlineStr">
        <is>
          <t>指標</t>
        </is>
      </c>
      <c r="B2" t="inlineStr">
        <is>
          <t>件数</t>
        </is>
      </c>
      <c r="C2"/>
      <c r="D2"/>
    </row>
    <row r="3">
      <c r="A3" t="inlineStr">
        <is>
          <t>全件</t>
        </is>
      </c>
      <c r="B3">
        <f>COUNTA('課題・指摘一覧'!G2:G101)</f>
      </c>
      <c r="C3"/>
      <c r="D3"/>
    </row>
    <row r="4">
      <c r="A4" t="inlineStr">
        <is>
          <t>未対応</t>
        </is>
      </c>
      <c r="B4">
        <f>COUNTIF('課題・指摘一覧'!F2:F101,"未対応")</f>
      </c>
      <c r="C4"/>
      <c r="D4"/>
    </row>
    <row r="5">
      <c r="A5" t="inlineStr">
        <is>
          <t>対応中</t>
        </is>
      </c>
      <c r="B5">
        <f>COUNTIF('課題・指摘一覧'!F2:F101,"対応中")</f>
      </c>
      <c r="C5"/>
      <c r="D5"/>
    </row>
    <row r="6">
      <c r="A6" t="inlineStr">
        <is>
          <t>確認待ち</t>
        </is>
      </c>
      <c r="B6">
        <f>COUNTIF('課題・指摘一覧'!F2:F101,"確認待ち")</f>
      </c>
      <c r="C6"/>
      <c r="D6"/>
    </row>
    <row r="7">
      <c r="A7" t="inlineStr">
        <is>
          <t>完了</t>
        </is>
      </c>
      <c r="B7">
        <f>COUNTIF('課題・指摘一覧'!F2:F101,"完了")</f>
      </c>
      <c r="C7"/>
      <c r="D7"/>
    </row>
    <row r="8">
      <c r="A8" t="inlineStr">
        <is>
          <t>保留</t>
        </is>
      </c>
      <c r="B8">
        <f>COUNTIF('課題・指摘一覧'!F2:F101,"保留")</f>
      </c>
      <c r="C8"/>
      <c r="D8"/>
    </row>
    <row r="9">
      <c r="A9" t="inlineStr">
        <is>
          <t>高優先度未完了</t>
        </is>
      </c>
      <c r="B9">
        <f>COUNTIFS('課題・指摘一覧'!D2:D101,"高",'課題・指摘一覧'!F2:F101,"&lt;&gt;完了")</f>
      </c>
      <c r="C9"/>
      <c r="D9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 activeCell="A2" sqref="A2"/>
    </sheetView>
  </sheetViews>
  <cols>
    <col min="1" max="1" width="18" customWidth="1"/>
    <col min="2" max="2" width="80" customWidth="1"/>
  </cols>
  <sheetData>
    <row r="1" ht="24" customHeight="1">
      <c r="A1" t="inlineStr" s="1">
        <is>
          <t>項目</t>
        </is>
      </c>
      <c r="B1" t="inlineStr" s="1">
        <is>
          <t>候補/説明</t>
        </is>
      </c>
    </row>
    <row r="2">
      <c r="A2" t="inlineStr">
        <is>
          <t>種別</t>
        </is>
      </c>
      <c r="B2" t="inlineStr">
        <is>
          <t>課題 / 指摘 / 質問 / 改善要望 / 障害</t>
        </is>
      </c>
    </row>
    <row r="3">
      <c r="A3" t="inlineStr">
        <is>
          <t>優先度</t>
        </is>
      </c>
      <c r="B3" t="inlineStr">
        <is>
          <t>緊急 / 高 / 中 / 低</t>
        </is>
      </c>
    </row>
    <row r="4">
      <c r="A4" t="inlineStr">
        <is>
          <t>影響度</t>
        </is>
      </c>
      <c r="B4" t="inlineStr">
        <is>
          <t>業務停止 / 業務影響あり / 軽微 / 影響なし</t>
        </is>
      </c>
    </row>
    <row r="5">
      <c r="A5" t="inlineStr">
        <is>
          <t>ステータス</t>
        </is>
      </c>
      <c r="B5" t="inlineStr">
        <is>
          <t>未対応 / 対応中 / 確認待ち / 完了 / 保留 / 取下げ</t>
        </is>
      </c>
    </row>
    <row r="6">
      <c r="A6" t="inlineStr">
        <is>
          <t>運用ルール</t>
        </is>
      </c>
      <c r="B6" t="inlineStr">
        <is>
          <t>起票時は件名・具体内容・対象機能・発見者・優先度を必須入力。完了時は解消日・対応内容を入力。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課題・指摘一覧</vt:lpstr>
      <vt:lpstr>サマリ</vt:lpstr>
      <vt:lpstr>入力ルール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運用保守 課題・指摘一覧フォーマット</dc:title>
  <dc:creator>Codex</dc:creator>
  <cp:lastModifiedBy>Codex</cp:lastModifiedBy>
  <dcterms:created xsi:type="dcterms:W3CDTF">2026-07-08T00:00:00Z</dcterms:created>
  <dcterms:modified xsi:type="dcterms:W3CDTF">2026-07-08T00:00:00Z</dcterms:modified>
</cp:coreProperties>
</file>