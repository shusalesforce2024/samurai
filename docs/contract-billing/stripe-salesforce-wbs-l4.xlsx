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bato-my.sharepoint.com/personal/shu_kawanami_z616_dirbato_co_jp/Documents/ドキュメント/Samurai/samurai/docs/contract-billing/"/>
    </mc:Choice>
  </mc:AlternateContent>
  <xr:revisionPtr revIDLastSave="901" documentId="8_{0D3F7115-E316-4E39-BF57-C3BD9AFD03DF}" xr6:coauthVersionLast="47" xr6:coauthVersionMax="47" xr10:uidLastSave="{31B77DBD-BFBB-4FB2-A569-19B79C858F17}"/>
  <bookViews>
    <workbookView xWindow="-120" yWindow="-120" windowWidth="29040" windowHeight="17520" activeTab="1" xr2:uid="{87842732-6BF2-4B0E-9851-157705539768}"/>
  </bookViews>
  <sheets>
    <sheet name="サマリ" sheetId="6" r:id="rId1"/>
    <sheet name="WBS_L4" sheetId="5" r:id="rId2"/>
    <sheet name="移行準備" sheetId="4" r:id="rId3"/>
    <sheet name="マイルストーン" sheetId="3" r:id="rId4"/>
    <sheet name="体制" sheetId="2" r:id="rId5"/>
    <sheet name="リスク" sheetId="1" r:id="rId6"/>
  </sheets>
  <definedNames>
    <definedName name="_xlnm._FilterDatabase" localSheetId="1" hidden="1">WBS_L4!$A$1:$X$138</definedName>
    <definedName name="_xlnm._FilterDatabase" localSheetId="3" hidden="1">マイルストーン!$A$1:$D$8</definedName>
    <definedName name="_xlnm._FilterDatabase" localSheetId="5" hidden="1">リスク!$A$1:$E$7</definedName>
    <definedName name="_xlnm._FilterDatabase" localSheetId="2" hidden="1">移行準備!$A$1:$E$8</definedName>
    <definedName name="_xlnm._FilterDatabase" localSheetId="4" hidden="1">体制!$A$1:$C$9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38" i="5" l="1"/>
  <c r="T138" i="5"/>
  <c r="V138" i="5" s="1"/>
  <c r="S138" i="5"/>
  <c r="U137" i="5"/>
  <c r="W137" i="5" s="1"/>
  <c r="X137" i="5" s="1"/>
  <c r="T137" i="5"/>
  <c r="V137" i="5" s="1"/>
  <c r="S137" i="5"/>
  <c r="T136" i="5"/>
  <c r="V136" i="5" s="1"/>
  <c r="S136" i="5"/>
  <c r="U136" i="5" s="1"/>
  <c r="W136" i="5" s="1"/>
  <c r="X136" i="5" s="1"/>
  <c r="T135" i="5"/>
  <c r="V135" i="5" s="1"/>
  <c r="S135" i="5"/>
  <c r="U135" i="5" s="1"/>
  <c r="W135" i="5" s="1"/>
  <c r="X135" i="5" s="1"/>
  <c r="T134" i="5"/>
  <c r="V134" i="5" s="1"/>
  <c r="S134" i="5"/>
  <c r="U134" i="5" s="1"/>
  <c r="W134" i="5" s="1"/>
  <c r="X134" i="5" s="1"/>
  <c r="T133" i="5"/>
  <c r="V133" i="5" s="1"/>
  <c r="S133" i="5"/>
  <c r="U133" i="5" s="1"/>
  <c r="W133" i="5" s="1"/>
  <c r="X133" i="5" s="1"/>
  <c r="T132" i="5"/>
  <c r="V132" i="5" s="1"/>
  <c r="S132" i="5"/>
  <c r="U132" i="5" s="1"/>
  <c r="W132" i="5" s="1"/>
  <c r="X132" i="5" s="1"/>
  <c r="T131" i="5"/>
  <c r="V131" i="5" s="1"/>
  <c r="S131" i="5"/>
  <c r="U131" i="5" s="1"/>
  <c r="W131" i="5" s="1"/>
  <c r="X131" i="5" s="1"/>
  <c r="T130" i="5"/>
  <c r="V130" i="5" s="1"/>
  <c r="S130" i="5"/>
  <c r="U130" i="5" s="1"/>
  <c r="W130" i="5" s="1"/>
  <c r="X130" i="5" s="1"/>
  <c r="T129" i="5"/>
  <c r="V129" i="5" s="1"/>
  <c r="S129" i="5"/>
  <c r="U129" i="5" s="1"/>
  <c r="W129" i="5" s="1"/>
  <c r="X129" i="5" s="1"/>
  <c r="T128" i="5"/>
  <c r="V128" i="5" s="1"/>
  <c r="S128" i="5"/>
  <c r="U128" i="5" s="1"/>
  <c r="W128" i="5" s="1"/>
  <c r="X128" i="5" s="1"/>
  <c r="T127" i="5"/>
  <c r="V127" i="5" s="1"/>
  <c r="S127" i="5"/>
  <c r="U127" i="5" s="1"/>
  <c r="W127" i="5" s="1"/>
  <c r="X127" i="5" s="1"/>
  <c r="T126" i="5"/>
  <c r="V126" i="5" s="1"/>
  <c r="S126" i="5"/>
  <c r="U126" i="5" s="1"/>
  <c r="W126" i="5" s="1"/>
  <c r="X126" i="5" s="1"/>
  <c r="T125" i="5"/>
  <c r="V125" i="5" s="1"/>
  <c r="S125" i="5"/>
  <c r="U125" i="5" s="1"/>
  <c r="W125" i="5" s="1"/>
  <c r="X125" i="5" s="1"/>
  <c r="T124" i="5"/>
  <c r="V124" i="5" s="1"/>
  <c r="S124" i="5"/>
  <c r="U124" i="5" s="1"/>
  <c r="W124" i="5" s="1"/>
  <c r="X124" i="5" s="1"/>
  <c r="T123" i="5"/>
  <c r="V123" i="5" s="1"/>
  <c r="S123" i="5"/>
  <c r="U123" i="5" s="1"/>
  <c r="W123" i="5" s="1"/>
  <c r="X123" i="5" s="1"/>
  <c r="T122" i="5"/>
  <c r="V122" i="5" s="1"/>
  <c r="S122" i="5"/>
  <c r="U122" i="5" s="1"/>
  <c r="W122" i="5" s="1"/>
  <c r="X122" i="5" s="1"/>
  <c r="T121" i="5"/>
  <c r="V121" i="5" s="1"/>
  <c r="S121" i="5"/>
  <c r="U121" i="5" s="1"/>
  <c r="W121" i="5" s="1"/>
  <c r="X121" i="5" s="1"/>
  <c r="T120" i="5"/>
  <c r="V120" i="5" s="1"/>
  <c r="S120" i="5"/>
  <c r="U120" i="5" s="1"/>
  <c r="W120" i="5" s="1"/>
  <c r="X120" i="5" s="1"/>
  <c r="T119" i="5"/>
  <c r="V119" i="5" s="1"/>
  <c r="S119" i="5"/>
  <c r="U119" i="5" s="1"/>
  <c r="W119" i="5" s="1"/>
  <c r="X119" i="5" s="1"/>
  <c r="T118" i="5"/>
  <c r="V118" i="5" s="1"/>
  <c r="S118" i="5"/>
  <c r="U118" i="5" s="1"/>
  <c r="W118" i="5" s="1"/>
  <c r="X118" i="5" s="1"/>
  <c r="T117" i="5"/>
  <c r="V117" i="5" s="1"/>
  <c r="S117" i="5"/>
  <c r="U117" i="5" s="1"/>
  <c r="W117" i="5" s="1"/>
  <c r="X117" i="5" s="1"/>
  <c r="T116" i="5"/>
  <c r="V116" i="5" s="1"/>
  <c r="S116" i="5"/>
  <c r="U116" i="5" s="1"/>
  <c r="W116" i="5" s="1"/>
  <c r="X116" i="5" s="1"/>
  <c r="T115" i="5"/>
  <c r="V115" i="5" s="1"/>
  <c r="S115" i="5"/>
  <c r="U115" i="5" s="1"/>
  <c r="W115" i="5" s="1"/>
  <c r="X115" i="5" s="1"/>
  <c r="T114" i="5"/>
  <c r="V114" i="5" s="1"/>
  <c r="S114" i="5"/>
  <c r="U114" i="5" s="1"/>
  <c r="W114" i="5" s="1"/>
  <c r="X114" i="5" s="1"/>
  <c r="T113" i="5"/>
  <c r="V113" i="5" s="1"/>
  <c r="S113" i="5"/>
  <c r="U113" i="5" s="1"/>
  <c r="W113" i="5" s="1"/>
  <c r="X113" i="5" s="1"/>
  <c r="T112" i="5"/>
  <c r="V112" i="5" s="1"/>
  <c r="S112" i="5"/>
  <c r="U112" i="5" s="1"/>
  <c r="W112" i="5" s="1"/>
  <c r="X112" i="5" s="1"/>
  <c r="T111" i="5"/>
  <c r="V111" i="5" s="1"/>
  <c r="S111" i="5"/>
  <c r="U111" i="5" s="1"/>
  <c r="W111" i="5" s="1"/>
  <c r="X111" i="5" s="1"/>
  <c r="T110" i="5"/>
  <c r="V110" i="5" s="1"/>
  <c r="S110" i="5"/>
  <c r="U110" i="5" s="1"/>
  <c r="W110" i="5" s="1"/>
  <c r="X110" i="5" s="1"/>
  <c r="T109" i="5"/>
  <c r="V109" i="5" s="1"/>
  <c r="S109" i="5"/>
  <c r="U109" i="5" s="1"/>
  <c r="W109" i="5" s="1"/>
  <c r="X109" i="5" s="1"/>
  <c r="T108" i="5"/>
  <c r="V108" i="5" s="1"/>
  <c r="S108" i="5"/>
  <c r="U108" i="5" s="1"/>
  <c r="W108" i="5" s="1"/>
  <c r="X108" i="5" s="1"/>
  <c r="T107" i="5"/>
  <c r="V107" i="5" s="1"/>
  <c r="S107" i="5"/>
  <c r="U107" i="5" s="1"/>
  <c r="W107" i="5" s="1"/>
  <c r="X107" i="5" s="1"/>
  <c r="T106" i="5"/>
  <c r="V106" i="5" s="1"/>
  <c r="S106" i="5"/>
  <c r="U106" i="5" s="1"/>
  <c r="W106" i="5" s="1"/>
  <c r="X106" i="5" s="1"/>
  <c r="T105" i="5"/>
  <c r="V105" i="5" s="1"/>
  <c r="S105" i="5"/>
  <c r="U105" i="5" s="1"/>
  <c r="W105" i="5" s="1"/>
  <c r="X105" i="5" s="1"/>
  <c r="T104" i="5"/>
  <c r="V104" i="5" s="1"/>
  <c r="S104" i="5"/>
  <c r="U104" i="5" s="1"/>
  <c r="W104" i="5" s="1"/>
  <c r="X104" i="5" s="1"/>
  <c r="T103" i="5"/>
  <c r="V103" i="5" s="1"/>
  <c r="S103" i="5"/>
  <c r="U103" i="5" s="1"/>
  <c r="W103" i="5" s="1"/>
  <c r="X103" i="5" s="1"/>
  <c r="T102" i="5"/>
  <c r="V102" i="5" s="1"/>
  <c r="S102" i="5"/>
  <c r="U102" i="5" s="1"/>
  <c r="W102" i="5" s="1"/>
  <c r="X102" i="5" s="1"/>
  <c r="T101" i="5"/>
  <c r="V101" i="5" s="1"/>
  <c r="S101" i="5"/>
  <c r="U101" i="5" s="1"/>
  <c r="W101" i="5" s="1"/>
  <c r="X101" i="5" s="1"/>
  <c r="T100" i="5"/>
  <c r="V100" i="5" s="1"/>
  <c r="S100" i="5"/>
  <c r="U100" i="5" s="1"/>
  <c r="W100" i="5" s="1"/>
  <c r="X100" i="5" s="1"/>
  <c r="T99" i="5"/>
  <c r="V99" i="5" s="1"/>
  <c r="S99" i="5"/>
  <c r="U99" i="5" s="1"/>
  <c r="W99" i="5" s="1"/>
  <c r="X99" i="5" s="1"/>
  <c r="T98" i="5"/>
  <c r="V98" i="5" s="1"/>
  <c r="S98" i="5"/>
  <c r="U98" i="5" s="1"/>
  <c r="W98" i="5" s="1"/>
  <c r="X98" i="5" s="1"/>
  <c r="T97" i="5"/>
  <c r="V97" i="5" s="1"/>
  <c r="S97" i="5"/>
  <c r="U97" i="5" s="1"/>
  <c r="W97" i="5" s="1"/>
  <c r="X97" i="5" s="1"/>
  <c r="T96" i="5"/>
  <c r="V96" i="5" s="1"/>
  <c r="S96" i="5"/>
  <c r="U96" i="5" s="1"/>
  <c r="W96" i="5" s="1"/>
  <c r="X96" i="5" s="1"/>
  <c r="T95" i="5"/>
  <c r="V95" i="5" s="1"/>
  <c r="S95" i="5"/>
  <c r="U95" i="5" s="1"/>
  <c r="W95" i="5" s="1"/>
  <c r="X95" i="5" s="1"/>
  <c r="T94" i="5"/>
  <c r="V94" i="5" s="1"/>
  <c r="S94" i="5"/>
  <c r="U94" i="5" s="1"/>
  <c r="W94" i="5" s="1"/>
  <c r="X94" i="5" s="1"/>
  <c r="T93" i="5"/>
  <c r="V93" i="5" s="1"/>
  <c r="S93" i="5"/>
  <c r="U93" i="5" s="1"/>
  <c r="W93" i="5" s="1"/>
  <c r="X93" i="5" s="1"/>
  <c r="T92" i="5"/>
  <c r="V92" i="5" s="1"/>
  <c r="S92" i="5"/>
  <c r="U92" i="5" s="1"/>
  <c r="W92" i="5" s="1"/>
  <c r="X92" i="5" s="1"/>
  <c r="T91" i="5"/>
  <c r="V91" i="5" s="1"/>
  <c r="S91" i="5"/>
  <c r="U91" i="5" s="1"/>
  <c r="W91" i="5" s="1"/>
  <c r="X91" i="5" s="1"/>
  <c r="T90" i="5"/>
  <c r="V90" i="5" s="1"/>
  <c r="S90" i="5"/>
  <c r="U90" i="5" s="1"/>
  <c r="W90" i="5" s="1"/>
  <c r="X90" i="5" s="1"/>
  <c r="T89" i="5"/>
  <c r="V89" i="5" s="1"/>
  <c r="S89" i="5"/>
  <c r="U89" i="5" s="1"/>
  <c r="W89" i="5" s="1"/>
  <c r="X89" i="5" s="1"/>
  <c r="T88" i="5"/>
  <c r="V88" i="5" s="1"/>
  <c r="S88" i="5"/>
  <c r="U88" i="5" s="1"/>
  <c r="W88" i="5" s="1"/>
  <c r="X88" i="5" s="1"/>
  <c r="T87" i="5"/>
  <c r="V87" i="5" s="1"/>
  <c r="S87" i="5"/>
  <c r="U87" i="5" s="1"/>
  <c r="W87" i="5" s="1"/>
  <c r="X87" i="5" s="1"/>
  <c r="T86" i="5"/>
  <c r="V86" i="5" s="1"/>
  <c r="S86" i="5"/>
  <c r="U86" i="5" s="1"/>
  <c r="W86" i="5" s="1"/>
  <c r="X86" i="5" s="1"/>
  <c r="T85" i="5"/>
  <c r="V85" i="5" s="1"/>
  <c r="S85" i="5"/>
  <c r="U85" i="5" s="1"/>
  <c r="W85" i="5" s="1"/>
  <c r="X85" i="5" s="1"/>
  <c r="T84" i="5"/>
  <c r="V84" i="5" s="1"/>
  <c r="S84" i="5"/>
  <c r="U84" i="5" s="1"/>
  <c r="W84" i="5" s="1"/>
  <c r="X84" i="5" s="1"/>
  <c r="T83" i="5"/>
  <c r="V83" i="5" s="1"/>
  <c r="S83" i="5"/>
  <c r="U83" i="5" s="1"/>
  <c r="W83" i="5" s="1"/>
  <c r="X83" i="5" s="1"/>
  <c r="T82" i="5"/>
  <c r="V82" i="5" s="1"/>
  <c r="S82" i="5"/>
  <c r="U82" i="5" s="1"/>
  <c r="W82" i="5" s="1"/>
  <c r="X82" i="5" s="1"/>
  <c r="T81" i="5"/>
  <c r="V81" i="5" s="1"/>
  <c r="S81" i="5"/>
  <c r="U81" i="5" s="1"/>
  <c r="W81" i="5" s="1"/>
  <c r="X81" i="5" s="1"/>
  <c r="T80" i="5"/>
  <c r="V80" i="5" s="1"/>
  <c r="S80" i="5"/>
  <c r="U80" i="5" s="1"/>
  <c r="W80" i="5" s="1"/>
  <c r="X80" i="5" s="1"/>
  <c r="T79" i="5"/>
  <c r="V79" i="5" s="1"/>
  <c r="S79" i="5"/>
  <c r="U79" i="5" s="1"/>
  <c r="W79" i="5" s="1"/>
  <c r="X79" i="5" s="1"/>
  <c r="T78" i="5"/>
  <c r="V78" i="5" s="1"/>
  <c r="S78" i="5"/>
  <c r="U78" i="5" s="1"/>
  <c r="W78" i="5" s="1"/>
  <c r="X78" i="5" s="1"/>
  <c r="T77" i="5"/>
  <c r="V77" i="5" s="1"/>
  <c r="S77" i="5"/>
  <c r="U77" i="5" s="1"/>
  <c r="W77" i="5" s="1"/>
  <c r="X77" i="5" s="1"/>
  <c r="T76" i="5"/>
  <c r="V76" i="5" s="1"/>
  <c r="S76" i="5"/>
  <c r="U76" i="5" s="1"/>
  <c r="W76" i="5" s="1"/>
  <c r="X76" i="5" s="1"/>
  <c r="U75" i="5"/>
  <c r="W75" i="5" s="1"/>
  <c r="X75" i="5" s="1"/>
  <c r="T75" i="5"/>
  <c r="V75" i="5" s="1"/>
  <c r="S75" i="5"/>
  <c r="U74" i="5"/>
  <c r="W74" i="5" s="1"/>
  <c r="X74" i="5" s="1"/>
  <c r="T74" i="5"/>
  <c r="V74" i="5" s="1"/>
  <c r="S74" i="5"/>
  <c r="U73" i="5"/>
  <c r="W73" i="5" s="1"/>
  <c r="X73" i="5" s="1"/>
  <c r="T73" i="5"/>
  <c r="V73" i="5" s="1"/>
  <c r="S73" i="5"/>
  <c r="T72" i="5"/>
  <c r="V72" i="5" s="1"/>
  <c r="S72" i="5"/>
  <c r="U72" i="5" s="1"/>
  <c r="W72" i="5" s="1"/>
  <c r="X72" i="5" s="1"/>
  <c r="V71" i="5"/>
  <c r="T71" i="5"/>
  <c r="S71" i="5"/>
  <c r="U71" i="5" s="1"/>
  <c r="W71" i="5" s="1"/>
  <c r="X71" i="5" s="1"/>
  <c r="U70" i="5"/>
  <c r="W70" i="5" s="1"/>
  <c r="X70" i="5" s="1"/>
  <c r="T70" i="5"/>
  <c r="V70" i="5" s="1"/>
  <c r="S70" i="5"/>
  <c r="T69" i="5"/>
  <c r="V69" i="5" s="1"/>
  <c r="S69" i="5"/>
  <c r="U69" i="5" s="1"/>
  <c r="W69" i="5" s="1"/>
  <c r="X69" i="5" s="1"/>
  <c r="V68" i="5"/>
  <c r="U68" i="5"/>
  <c r="W68" i="5" s="1"/>
  <c r="X68" i="5" s="1"/>
  <c r="T68" i="5"/>
  <c r="S68" i="5"/>
  <c r="T67" i="5"/>
  <c r="V67" i="5" s="1"/>
  <c r="S67" i="5"/>
  <c r="U67" i="5" s="1"/>
  <c r="W67" i="5" s="1"/>
  <c r="X67" i="5" s="1"/>
  <c r="T66" i="5"/>
  <c r="V66" i="5" s="1"/>
  <c r="S66" i="5"/>
  <c r="U66" i="5" s="1"/>
  <c r="W66" i="5" s="1"/>
  <c r="X66" i="5" s="1"/>
  <c r="V65" i="5"/>
  <c r="U65" i="5"/>
  <c r="W65" i="5" s="1"/>
  <c r="X65" i="5" s="1"/>
  <c r="T65" i="5"/>
  <c r="S65" i="5"/>
  <c r="T64" i="5"/>
  <c r="V64" i="5" s="1"/>
  <c r="S64" i="5"/>
  <c r="U64" i="5" s="1"/>
  <c r="W64" i="5" s="1"/>
  <c r="X64" i="5" s="1"/>
  <c r="T63" i="5"/>
  <c r="V63" i="5" s="1"/>
  <c r="S63" i="5"/>
  <c r="U63" i="5" s="1"/>
  <c r="W63" i="5" s="1"/>
  <c r="X63" i="5" s="1"/>
  <c r="V62" i="5"/>
  <c r="U62" i="5"/>
  <c r="W62" i="5" s="1"/>
  <c r="X62" i="5" s="1"/>
  <c r="T62" i="5"/>
  <c r="S62" i="5"/>
  <c r="T61" i="5"/>
  <c r="V61" i="5" s="1"/>
  <c r="S61" i="5"/>
  <c r="U61" i="5" s="1"/>
  <c r="W61" i="5" s="1"/>
  <c r="X61" i="5" s="1"/>
  <c r="T60" i="5"/>
  <c r="V60" i="5" s="1"/>
  <c r="S60" i="5"/>
  <c r="U60" i="5" s="1"/>
  <c r="W60" i="5" s="1"/>
  <c r="X60" i="5" s="1"/>
  <c r="V59" i="5"/>
  <c r="U59" i="5"/>
  <c r="W59" i="5" s="1"/>
  <c r="X59" i="5" s="1"/>
  <c r="T59" i="5"/>
  <c r="S59" i="5"/>
  <c r="T58" i="5"/>
  <c r="V58" i="5" s="1"/>
  <c r="S58" i="5"/>
  <c r="U58" i="5" s="1"/>
  <c r="W58" i="5" s="1"/>
  <c r="X58" i="5" s="1"/>
  <c r="T57" i="5"/>
  <c r="V57" i="5" s="1"/>
  <c r="S57" i="5"/>
  <c r="U57" i="5" s="1"/>
  <c r="W57" i="5" s="1"/>
  <c r="X57" i="5" s="1"/>
  <c r="V56" i="5"/>
  <c r="U56" i="5"/>
  <c r="W56" i="5" s="1"/>
  <c r="X56" i="5" s="1"/>
  <c r="T56" i="5"/>
  <c r="S56" i="5"/>
  <c r="T55" i="5"/>
  <c r="V55" i="5" s="1"/>
  <c r="S55" i="5"/>
  <c r="U55" i="5" s="1"/>
  <c r="W55" i="5" s="1"/>
  <c r="X55" i="5" s="1"/>
  <c r="T54" i="5"/>
  <c r="V54" i="5" s="1"/>
  <c r="S54" i="5"/>
  <c r="U54" i="5" s="1"/>
  <c r="W54" i="5" s="1"/>
  <c r="X54" i="5" s="1"/>
  <c r="V53" i="5"/>
  <c r="U53" i="5"/>
  <c r="W53" i="5" s="1"/>
  <c r="X53" i="5" s="1"/>
  <c r="T53" i="5"/>
  <c r="S53" i="5"/>
  <c r="T52" i="5"/>
  <c r="V52" i="5" s="1"/>
  <c r="S52" i="5"/>
  <c r="U52" i="5" s="1"/>
  <c r="W52" i="5" s="1"/>
  <c r="X52" i="5" s="1"/>
  <c r="T51" i="5"/>
  <c r="V51" i="5" s="1"/>
  <c r="S51" i="5"/>
  <c r="U51" i="5" s="1"/>
  <c r="W51" i="5" s="1"/>
  <c r="X51" i="5" s="1"/>
  <c r="V50" i="5"/>
  <c r="U50" i="5"/>
  <c r="W50" i="5" s="1"/>
  <c r="X50" i="5" s="1"/>
  <c r="T50" i="5"/>
  <c r="S50" i="5"/>
  <c r="T49" i="5"/>
  <c r="V49" i="5" s="1"/>
  <c r="S49" i="5"/>
  <c r="U49" i="5" s="1"/>
  <c r="W49" i="5" s="1"/>
  <c r="X49" i="5" s="1"/>
  <c r="T48" i="5"/>
  <c r="V48" i="5" s="1"/>
  <c r="S48" i="5"/>
  <c r="U48" i="5" s="1"/>
  <c r="W48" i="5" s="1"/>
  <c r="X48" i="5" s="1"/>
  <c r="V47" i="5"/>
  <c r="U47" i="5"/>
  <c r="W47" i="5" s="1"/>
  <c r="X47" i="5" s="1"/>
  <c r="T47" i="5"/>
  <c r="S47" i="5"/>
  <c r="T46" i="5"/>
  <c r="V46" i="5" s="1"/>
  <c r="S46" i="5"/>
  <c r="U46" i="5" s="1"/>
  <c r="W46" i="5" s="1"/>
  <c r="X46" i="5" s="1"/>
  <c r="T45" i="5"/>
  <c r="V45" i="5" s="1"/>
  <c r="S45" i="5"/>
  <c r="U45" i="5" s="1"/>
  <c r="W45" i="5" s="1"/>
  <c r="X45" i="5" s="1"/>
  <c r="V44" i="5"/>
  <c r="U44" i="5"/>
  <c r="W44" i="5" s="1"/>
  <c r="X44" i="5" s="1"/>
  <c r="T44" i="5"/>
  <c r="S44" i="5"/>
  <c r="T43" i="5"/>
  <c r="V43" i="5" s="1"/>
  <c r="S43" i="5"/>
  <c r="U43" i="5" s="1"/>
  <c r="W43" i="5" s="1"/>
  <c r="X43" i="5" s="1"/>
  <c r="T42" i="5"/>
  <c r="V42" i="5" s="1"/>
  <c r="S42" i="5"/>
  <c r="U42" i="5" s="1"/>
  <c r="W42" i="5" s="1"/>
  <c r="X42" i="5" s="1"/>
  <c r="V41" i="5"/>
  <c r="U41" i="5"/>
  <c r="W41" i="5" s="1"/>
  <c r="X41" i="5" s="1"/>
  <c r="T41" i="5"/>
  <c r="S41" i="5"/>
  <c r="T40" i="5"/>
  <c r="V40" i="5" s="1"/>
  <c r="S40" i="5"/>
  <c r="U40" i="5" s="1"/>
  <c r="W40" i="5" s="1"/>
  <c r="X40" i="5" s="1"/>
  <c r="T39" i="5"/>
  <c r="V39" i="5" s="1"/>
  <c r="S39" i="5"/>
  <c r="U39" i="5" s="1"/>
  <c r="W39" i="5" s="1"/>
  <c r="X39" i="5" s="1"/>
  <c r="V38" i="5"/>
  <c r="U38" i="5"/>
  <c r="W38" i="5" s="1"/>
  <c r="X38" i="5" s="1"/>
  <c r="T38" i="5"/>
  <c r="S38" i="5"/>
  <c r="T37" i="5"/>
  <c r="V37" i="5" s="1"/>
  <c r="S37" i="5"/>
  <c r="U37" i="5" s="1"/>
  <c r="W37" i="5" s="1"/>
  <c r="X37" i="5" s="1"/>
  <c r="T36" i="5"/>
  <c r="V36" i="5" s="1"/>
  <c r="S36" i="5"/>
  <c r="U36" i="5" s="1"/>
  <c r="W36" i="5" s="1"/>
  <c r="X36" i="5" s="1"/>
  <c r="V35" i="5"/>
  <c r="U35" i="5"/>
  <c r="W35" i="5" s="1"/>
  <c r="X35" i="5" s="1"/>
  <c r="T35" i="5"/>
  <c r="S35" i="5"/>
  <c r="T34" i="5"/>
  <c r="V34" i="5" s="1"/>
  <c r="S34" i="5"/>
  <c r="U34" i="5" s="1"/>
  <c r="W34" i="5" s="1"/>
  <c r="X34" i="5" s="1"/>
  <c r="T33" i="5"/>
  <c r="V33" i="5" s="1"/>
  <c r="S33" i="5"/>
  <c r="U33" i="5" s="1"/>
  <c r="W33" i="5" s="1"/>
  <c r="X33" i="5" s="1"/>
  <c r="V32" i="5"/>
  <c r="U32" i="5"/>
  <c r="W32" i="5" s="1"/>
  <c r="X32" i="5" s="1"/>
  <c r="T32" i="5"/>
  <c r="S32" i="5"/>
  <c r="T31" i="5"/>
  <c r="V31" i="5" s="1"/>
  <c r="S31" i="5"/>
  <c r="U31" i="5" s="1"/>
  <c r="W31" i="5" s="1"/>
  <c r="X31" i="5" s="1"/>
  <c r="T30" i="5"/>
  <c r="V30" i="5" s="1"/>
  <c r="S30" i="5"/>
  <c r="U30" i="5" s="1"/>
  <c r="W30" i="5" s="1"/>
  <c r="X30" i="5" s="1"/>
  <c r="V29" i="5"/>
  <c r="U29" i="5"/>
  <c r="W29" i="5" s="1"/>
  <c r="X29" i="5" s="1"/>
  <c r="T29" i="5"/>
  <c r="S29" i="5"/>
  <c r="T28" i="5"/>
  <c r="V28" i="5" s="1"/>
  <c r="S28" i="5"/>
  <c r="U28" i="5" s="1"/>
  <c r="W28" i="5" s="1"/>
  <c r="X28" i="5" s="1"/>
  <c r="T27" i="5"/>
  <c r="V27" i="5" s="1"/>
  <c r="S27" i="5"/>
  <c r="U27" i="5" s="1"/>
  <c r="W27" i="5" s="1"/>
  <c r="X27" i="5" s="1"/>
  <c r="V26" i="5"/>
  <c r="U26" i="5"/>
  <c r="W26" i="5" s="1"/>
  <c r="X26" i="5" s="1"/>
  <c r="T26" i="5"/>
  <c r="S26" i="5"/>
  <c r="T25" i="5"/>
  <c r="V25" i="5" s="1"/>
  <c r="S25" i="5"/>
  <c r="U25" i="5" s="1"/>
  <c r="W25" i="5" s="1"/>
  <c r="X25" i="5" s="1"/>
  <c r="T24" i="5"/>
  <c r="V24" i="5" s="1"/>
  <c r="S24" i="5"/>
  <c r="U24" i="5" s="1"/>
  <c r="W24" i="5" s="1"/>
  <c r="X24" i="5" s="1"/>
  <c r="V23" i="5"/>
  <c r="U23" i="5"/>
  <c r="W23" i="5" s="1"/>
  <c r="X23" i="5" s="1"/>
  <c r="T23" i="5"/>
  <c r="S23" i="5"/>
  <c r="T22" i="5"/>
  <c r="V22" i="5" s="1"/>
  <c r="S22" i="5"/>
  <c r="U22" i="5" s="1"/>
  <c r="W22" i="5" s="1"/>
  <c r="X22" i="5" s="1"/>
  <c r="T21" i="5"/>
  <c r="V21" i="5" s="1"/>
  <c r="S21" i="5"/>
  <c r="U21" i="5" s="1"/>
  <c r="W21" i="5" s="1"/>
  <c r="X21" i="5" s="1"/>
  <c r="V20" i="5"/>
  <c r="U20" i="5"/>
  <c r="W20" i="5" s="1"/>
  <c r="X20" i="5" s="1"/>
  <c r="T20" i="5"/>
  <c r="S20" i="5"/>
  <c r="T19" i="5"/>
  <c r="V19" i="5" s="1"/>
  <c r="S19" i="5"/>
  <c r="U19" i="5" s="1"/>
  <c r="W19" i="5" s="1"/>
  <c r="X19" i="5" s="1"/>
  <c r="T18" i="5"/>
  <c r="V18" i="5" s="1"/>
  <c r="S18" i="5"/>
  <c r="U18" i="5" s="1"/>
  <c r="W18" i="5" s="1"/>
  <c r="X18" i="5" s="1"/>
  <c r="V17" i="5"/>
  <c r="U17" i="5"/>
  <c r="W17" i="5" s="1"/>
  <c r="X17" i="5" s="1"/>
  <c r="T17" i="5"/>
  <c r="S17" i="5"/>
  <c r="T16" i="5"/>
  <c r="V16" i="5" s="1"/>
  <c r="S16" i="5"/>
  <c r="U16" i="5" s="1"/>
  <c r="W16" i="5" s="1"/>
  <c r="X16" i="5" s="1"/>
  <c r="T15" i="5"/>
  <c r="V15" i="5" s="1"/>
  <c r="S15" i="5"/>
  <c r="U15" i="5" s="1"/>
  <c r="W15" i="5" s="1"/>
  <c r="X15" i="5" s="1"/>
  <c r="V14" i="5"/>
  <c r="U14" i="5"/>
  <c r="W14" i="5" s="1"/>
  <c r="X14" i="5" s="1"/>
  <c r="T14" i="5"/>
  <c r="S14" i="5"/>
  <c r="T13" i="5"/>
  <c r="V13" i="5" s="1"/>
  <c r="S13" i="5"/>
  <c r="U13" i="5" s="1"/>
  <c r="W13" i="5" s="1"/>
  <c r="X13" i="5" s="1"/>
  <c r="T12" i="5"/>
  <c r="V12" i="5" s="1"/>
  <c r="S12" i="5"/>
  <c r="U12" i="5" s="1"/>
  <c r="W12" i="5" s="1"/>
  <c r="X12" i="5" s="1"/>
  <c r="V11" i="5"/>
  <c r="U11" i="5"/>
  <c r="W11" i="5" s="1"/>
  <c r="X11" i="5" s="1"/>
  <c r="T11" i="5"/>
  <c r="S11" i="5"/>
  <c r="T10" i="5"/>
  <c r="V10" i="5" s="1"/>
  <c r="S10" i="5"/>
  <c r="U10" i="5" s="1"/>
  <c r="W10" i="5" s="1"/>
  <c r="X10" i="5" s="1"/>
  <c r="T9" i="5"/>
  <c r="V9" i="5" s="1"/>
  <c r="S9" i="5"/>
  <c r="U9" i="5" s="1"/>
  <c r="W9" i="5" s="1"/>
  <c r="X9" i="5" s="1"/>
  <c r="V8" i="5"/>
  <c r="U8" i="5"/>
  <c r="W8" i="5" s="1"/>
  <c r="X8" i="5" s="1"/>
  <c r="T8" i="5"/>
  <c r="S8" i="5"/>
  <c r="T7" i="5"/>
  <c r="V7" i="5" s="1"/>
  <c r="S7" i="5"/>
  <c r="U7" i="5" s="1"/>
  <c r="W7" i="5" s="1"/>
  <c r="X7" i="5" s="1"/>
  <c r="T6" i="5"/>
  <c r="V6" i="5" s="1"/>
  <c r="S6" i="5"/>
  <c r="U6" i="5" s="1"/>
  <c r="W6" i="5" s="1"/>
  <c r="X6" i="5" s="1"/>
  <c r="V5" i="5"/>
  <c r="U5" i="5"/>
  <c r="W5" i="5" s="1"/>
  <c r="X5" i="5" s="1"/>
  <c r="T5" i="5"/>
  <c r="S5" i="5"/>
  <c r="T4" i="5"/>
  <c r="V4" i="5" s="1"/>
  <c r="S4" i="5"/>
  <c r="U4" i="5" s="1"/>
  <c r="W4" i="5" s="1"/>
  <c r="X4" i="5" s="1"/>
  <c r="T3" i="5"/>
  <c r="V3" i="5" s="1"/>
  <c r="S3" i="5"/>
  <c r="U3" i="5" s="1"/>
  <c r="W3" i="5" s="1"/>
  <c r="X3" i="5" s="1"/>
  <c r="V2" i="5"/>
  <c r="U2" i="5"/>
  <c r="W2" i="5" s="1"/>
  <c r="X2" i="5" s="1"/>
  <c r="T2" i="5"/>
  <c r="S2" i="5"/>
  <c r="W138" i="5" l="1"/>
  <c r="X138" i="5" s="1"/>
</calcChain>
</file>

<file path=xl/sharedStrings.xml><?xml version="1.0" encoding="utf-8"?>
<sst xmlns="http://schemas.openxmlformats.org/spreadsheetml/2006/main" count="1666" uniqueCount="600">
  <si>
    <t>項目</t>
  </si>
  <si>
    <t>値</t>
  </si>
  <si>
    <t>対象期間</t>
  </si>
  <si>
    <t>2026/07/14〜2026/08/10</t>
  </si>
  <si>
    <t>総稼働可能時間</t>
  </si>
  <si>
    <t>L4タスク件数</t>
  </si>
  <si>
    <t>計画工数合計(h)</t>
  </si>
  <si>
    <t>開始日</t>
  </si>
  <si>
    <t>終了日</t>
  </si>
  <si>
    <t>管理単位</t>
  </si>
  <si>
    <t>L4</t>
  </si>
  <si>
    <t>SPI基準日</t>
  </si>
  <si>
    <t>SPI算出方法</t>
  </si>
  <si>
    <t>SPI = EV / PV。PV=予定工数×計画進捗率、EV=予定工数×実績進捗率</t>
  </si>
  <si>
    <t>ステータス</t>
  </si>
  <si>
    <t>1.1.1.1</t>
  </si>
  <si>
    <t>要件定義</t>
  </si>
  <si>
    <t>スコープ整理</t>
  </si>
  <si>
    <t>要件確認メモ</t>
  </si>
  <si>
    <t>要件一覧の対象・対象外を確認する</t>
  </si>
  <si>
    <t>川波</t>
  </si>
  <si>
    <t>高山、横溝</t>
  </si>
  <si>
    <t>未着手</t>
  </si>
  <si>
    <t>高</t>
  </si>
  <si>
    <t>-</t>
  </si>
  <si>
    <t>1.1.1.2</t>
  </si>
  <si>
    <t>初期リリース対象と次フェーズ対象を分類する</t>
  </si>
  <si>
    <t>スコープ分類表</t>
  </si>
  <si>
    <t>1.1.1.3</t>
  </si>
  <si>
    <t>リリース判定に必要な最低要件を定義する</t>
  </si>
  <si>
    <t>高山、加藤</t>
  </si>
  <si>
    <t>最低要件一覧</t>
  </si>
  <si>
    <t>1.2.1.1</t>
  </si>
  <si>
    <t>業務フロー</t>
  </si>
  <si>
    <t>業務フロー確認表</t>
  </si>
  <si>
    <t>営業の決済URL作成・顧客案内フローを整理する</t>
  </si>
  <si>
    <t>玉木、畝山</t>
  </si>
  <si>
    <t>営業フロー</t>
  </si>
  <si>
    <t>1.2.1.2</t>
  </si>
  <si>
    <t>経理の未入金・決済済み・返金確認フローを整理する</t>
  </si>
  <si>
    <t>中山</t>
  </si>
  <si>
    <t>経理フロー</t>
  </si>
  <si>
    <t>1.2.1.3</t>
  </si>
  <si>
    <t>CS・経営向け確認範囲を整理する</t>
  </si>
  <si>
    <t>玉木、高山、加藤</t>
  </si>
  <si>
    <t>中</t>
  </si>
  <si>
    <t>利用範囲メモ</t>
  </si>
  <si>
    <t>1.3.1.1</t>
  </si>
  <si>
    <t>決済方式</t>
  </si>
  <si>
    <t>決済方式整理</t>
  </si>
  <si>
    <t>Stripe Checkout採用可否を整理する</t>
  </si>
  <si>
    <t>横溝、小室</t>
  </si>
  <si>
    <t>決済方式比較</t>
  </si>
  <si>
    <t>1.3.1.2</t>
  </si>
  <si>
    <t>Billing/Subscriptionを初期対象外にする条件を整理する</t>
  </si>
  <si>
    <t>対象外整理</t>
  </si>
  <si>
    <t>1.3.1.3</t>
  </si>
  <si>
    <t>Payment Intent/Checkout Sessionに保持するIDを定義する</t>
  </si>
  <si>
    <t>小室</t>
  </si>
  <si>
    <t>ID管理方針</t>
  </si>
  <si>
    <t>1.4.1.1</t>
  </si>
  <si>
    <t>顧客名寄せ</t>
  </si>
  <si>
    <t>名寄せルール表</t>
  </si>
  <si>
    <t>Stripe Customer ID完全一致ルールを定義する</t>
  </si>
  <si>
    <t>名寄せルール</t>
  </si>
  <si>
    <t>1.4.1.2</t>
  </si>
  <si>
    <t>メール・会社名・電話番号による候補判定を定義する</t>
  </si>
  <si>
    <t>横溝、小室、中山</t>
  </si>
  <si>
    <t>候補判定ルール</t>
  </si>
  <si>
    <t>1.4.1.3</t>
  </si>
  <si>
    <t>複数候補・未解決時の手動確認運用を定義する</t>
  </si>
  <si>
    <t>中山、玉木</t>
  </si>
  <si>
    <t>手動確認運用</t>
  </si>
  <si>
    <t>1.5.1.1</t>
  </si>
  <si>
    <t>ステータスマッピング</t>
  </si>
  <si>
    <t>Checkout作成済み・決済済み・失敗・期限切れの対応を定義する</t>
  </si>
  <si>
    <t>中山、横溝</t>
  </si>
  <si>
    <t>ステータス表</t>
  </si>
  <si>
    <t>1.5.1.2</t>
  </si>
  <si>
    <t>返金・取消・Disputeの初期運用を定義する</t>
  </si>
  <si>
    <t>返金運用</t>
  </si>
  <si>
    <t>1.5.1.3</t>
  </si>
  <si>
    <t>Salesforce請求項目への反映ルールを定義する</t>
  </si>
  <si>
    <t>中山、小室</t>
  </si>
  <si>
    <t>反映項目表</t>
  </si>
  <si>
    <t>1.6.1.1</t>
  </si>
  <si>
    <t>レビュー</t>
  </si>
  <si>
    <t>要件確定版</t>
  </si>
  <si>
    <t>要件定義レビューを実施する</t>
  </si>
  <si>
    <t>高山、加藤、横溝</t>
  </si>
  <si>
    <t>レビュー議事メモ</t>
  </si>
  <si>
    <t>1.6.1.2</t>
  </si>
  <si>
    <t>指摘を反映し要件を確定する</t>
  </si>
  <si>
    <t>2.1.1.1</t>
  </si>
  <si>
    <t>設計</t>
  </si>
  <si>
    <t>責務分担</t>
  </si>
  <si>
    <t>基本設計</t>
  </si>
  <si>
    <t>Salesforce/Stripe/freeeの責務分担を整理する</t>
  </si>
  <si>
    <t>横溝、高山</t>
  </si>
  <si>
    <t>責務分担表</t>
  </si>
  <si>
    <t>2.1.1.2</t>
  </si>
  <si>
    <t>契約・請求・決済の正を定義する</t>
  </si>
  <si>
    <t>正管理定義</t>
  </si>
  <si>
    <t>2.1.1.3</t>
  </si>
  <si>
    <t>障害時の復旧・再取得方針を整理する</t>
  </si>
  <si>
    <t>復旧方針</t>
  </si>
  <si>
    <t>2.2.1.1</t>
  </si>
  <si>
    <t>メタデータ</t>
  </si>
  <si>
    <t>項目設計表</t>
  </si>
  <si>
    <t>Account追加項目を設計する</t>
  </si>
  <si>
    <t>Account項目設計</t>
  </si>
  <si>
    <t>2.2.1.2</t>
  </si>
  <si>
    <t>Invoice追加項目を設計する</t>
  </si>
  <si>
    <t>小室、中山</t>
  </si>
  <si>
    <t>Invoice項目設計</t>
  </si>
  <si>
    <t>2.2.1.3</t>
  </si>
  <si>
    <t>Stripeイベントログ・連携ログを設計する</t>
  </si>
  <si>
    <t>ログ設計</t>
  </si>
  <si>
    <t>2.3.1.1</t>
  </si>
  <si>
    <t>名寄せ</t>
  </si>
  <si>
    <t>名寄せ詳細設計</t>
  </si>
  <si>
    <t>Stripe Customer検索条件を設計する</t>
  </si>
  <si>
    <t>検索条件設計</t>
  </si>
  <si>
    <t>2.3.1.2</t>
  </si>
  <si>
    <t>自動紐づけ・手動確認ステータスを設計する</t>
  </si>
  <si>
    <t>状態遷移設計</t>
  </si>
  <si>
    <t>2.3.1.3</t>
  </si>
  <si>
    <t>データ移行時の名寄せ照合観点を設計する</t>
  </si>
  <si>
    <t>横溝、中山</t>
  </si>
  <si>
    <t>照合観点</t>
  </si>
  <si>
    <t>2.4.1.1</t>
  </si>
  <si>
    <t>Checkout</t>
  </si>
  <si>
    <t>API設計</t>
  </si>
  <si>
    <t>Checkout Session作成APIリクエストを設計する</t>
  </si>
  <si>
    <t>API仕様</t>
  </si>
  <si>
    <t>2.4.1.2</t>
  </si>
  <si>
    <t>請求明細からLine Itemへの変換を設計する</t>
  </si>
  <si>
    <t>Line Item設計</t>
  </si>
  <si>
    <t>2.4.1.3</t>
  </si>
  <si>
    <t>決済URL再作成・期限切れ時の扱いを設計する</t>
  </si>
  <si>
    <t>再作成設計</t>
  </si>
  <si>
    <t>2.5.1.1</t>
  </si>
  <si>
    <t>Webhook</t>
  </si>
  <si>
    <t>Webhook設計</t>
  </si>
  <si>
    <t>Webhookエンドポイントを設計する</t>
  </si>
  <si>
    <t>Webhook仕様</t>
  </si>
  <si>
    <t>2.5.1.2</t>
  </si>
  <si>
    <t>署名検証とSecret管理を設計する</t>
  </si>
  <si>
    <t>署名検証設計</t>
  </si>
  <si>
    <t>2.5.1.3</t>
  </si>
  <si>
    <t>Event ID冪等性制御を設計する</t>
  </si>
  <si>
    <t>冪等性設計</t>
  </si>
  <si>
    <t>2.6.1.1</t>
  </si>
  <si>
    <t>権限・画面</t>
  </si>
  <si>
    <t>権限・画面設計</t>
  </si>
  <si>
    <t>営業・経理・管理者権限を設計する</t>
  </si>
  <si>
    <t>玉木、中山</t>
  </si>
  <si>
    <t>権限設計</t>
  </si>
  <si>
    <t>2.6.1.2</t>
  </si>
  <si>
    <t>リストビュー・レポート最小構成を設計する</t>
  </si>
  <si>
    <t>中山、加藤</t>
  </si>
  <si>
    <t>画面設計</t>
  </si>
  <si>
    <t>2.6.1.3</t>
  </si>
  <si>
    <t>移行設計</t>
  </si>
  <si>
    <t>業務移行・システム移行・データ移行の計画を設計に反映する</t>
  </si>
  <si>
    <t>移行計画</t>
  </si>
  <si>
    <t>3.1.1.1</t>
  </si>
  <si>
    <t>実装</t>
  </si>
  <si>
    <t>Salesforceメタデータ</t>
  </si>
  <si>
    <t>Account Stripe項目を作成する</t>
  </si>
  <si>
    <t>項目メタデータ</t>
  </si>
  <si>
    <t>3.1.1.2</t>
  </si>
  <si>
    <t>Invoice Stripe項目を作成する</t>
  </si>
  <si>
    <t>3.1.1.3</t>
  </si>
  <si>
    <t>レイアウト・権限の項目表示を調整する</t>
  </si>
  <si>
    <t>レイアウト</t>
  </si>
  <si>
    <t>3.2.1.1</t>
  </si>
  <si>
    <t>ログ</t>
  </si>
  <si>
    <t>ログオブジェクト</t>
  </si>
  <si>
    <t>StripeEvent__cを作成する</t>
  </si>
  <si>
    <t>3.2.1.2</t>
  </si>
  <si>
    <t>StripeSyncLog__cを作成する</t>
  </si>
  <si>
    <t>連携ログ</t>
  </si>
  <si>
    <t>3.2.1.3</t>
  </si>
  <si>
    <t>ログ参照用リストビューを作成する</t>
  </si>
  <si>
    <t>ログリストビュー</t>
  </si>
  <si>
    <t>3.3.1.1</t>
  </si>
  <si>
    <t>接続設定</t>
  </si>
  <si>
    <t>Named Credential/外部認証のメタデータを準備する</t>
  </si>
  <si>
    <t>3.3.1.2</t>
  </si>
  <si>
    <t>Stripe APIキー設定手順を整理する</t>
  </si>
  <si>
    <t>設定手順</t>
  </si>
  <si>
    <t>3.3.1.3</t>
  </si>
  <si>
    <t>接続疎通確認用の処理を準備する</t>
  </si>
  <si>
    <t>疎通確認</t>
  </si>
  <si>
    <t>3.4.1.1</t>
  </si>
  <si>
    <t>顧客連携</t>
  </si>
  <si>
    <t>Apexサービス</t>
  </si>
  <si>
    <t>Stripe Customer検索サービスを実装する</t>
  </si>
  <si>
    <t>Apex</t>
  </si>
  <si>
    <t>3.4.1.2</t>
  </si>
  <si>
    <t>Stripe Customer作成サービスを実装する</t>
  </si>
  <si>
    <t>3.4.1.3</t>
  </si>
  <si>
    <t>名寄せ結果をAccountに反映する処理を実装する</t>
  </si>
  <si>
    <t>3.5.1.1</t>
  </si>
  <si>
    <t>Checkout Session作成サービスを実装する</t>
  </si>
  <si>
    <t>3.5.1.2</t>
  </si>
  <si>
    <t>InvoiceLineからLine Itemを生成する処理を実装する</t>
  </si>
  <si>
    <t>3.5.1.3</t>
  </si>
  <si>
    <t>Checkout URL/Session IDをInvoiceへ保存する処理を実装する</t>
  </si>
  <si>
    <t>3.5.1.4</t>
  </si>
  <si>
    <t>APIエラーを日本語メッセージへ変換する</t>
  </si>
  <si>
    <t>エラー処理</t>
  </si>
  <si>
    <t>3.6.1.1</t>
  </si>
  <si>
    <t>画面導線</t>
  </si>
  <si>
    <t>ボタン/画面</t>
  </si>
  <si>
    <t>請求レコードに決済URL作成ボタンを追加する</t>
  </si>
  <si>
    <t>ボタン</t>
  </si>
  <si>
    <t>3.6.1.2</t>
  </si>
  <si>
    <t>連携失敗時の手動再実行導線を追加する</t>
  </si>
  <si>
    <t>再実行導線</t>
  </si>
  <si>
    <t>3.6.1.3</t>
  </si>
  <si>
    <t>営業・経理向けの画面表示を確認する</t>
  </si>
  <si>
    <t>画面確認</t>
  </si>
  <si>
    <t>3.7.1.1</t>
  </si>
  <si>
    <t>Apex REST</t>
  </si>
  <si>
    <t>Webhook受信エンドポイントを実装する</t>
  </si>
  <si>
    <t>3.7.1.2</t>
  </si>
  <si>
    <t>署名検証処理を実装する</t>
  </si>
  <si>
    <t>署名検証</t>
  </si>
  <si>
    <t>3.7.1.3</t>
  </si>
  <si>
    <t>Webhookイベント種別の振り分けを実装する</t>
  </si>
  <si>
    <t>イベント分岐</t>
  </si>
  <si>
    <t>3.7.1.4</t>
  </si>
  <si>
    <t>Webhook受信失敗時のログ記録を実装する</t>
  </si>
  <si>
    <t>ログ処理</t>
  </si>
  <si>
    <t>3.8.1.1</t>
  </si>
  <si>
    <t>冪等性</t>
  </si>
  <si>
    <t>イベント処理</t>
  </si>
  <si>
    <t>Stripe Event ID重複チェックを実装する</t>
  </si>
  <si>
    <t>3.8.1.2</t>
  </si>
  <si>
    <t>イベント処理ステータスを管理する</t>
  </si>
  <si>
    <t>イベント状態</t>
  </si>
  <si>
    <t>3.8.1.3</t>
  </si>
  <si>
    <t>処理済みイベントの再処理防止をテスト可能にする</t>
  </si>
  <si>
    <t>再処理防止</t>
  </si>
  <si>
    <t>3.9.1.1</t>
  </si>
  <si>
    <t>決済反映</t>
  </si>
  <si>
    <t>ステータス更新処理</t>
  </si>
  <si>
    <t>決済成功時の請求更新を実装する</t>
  </si>
  <si>
    <t>成功更新</t>
  </si>
  <si>
    <t>3.9.1.2</t>
  </si>
  <si>
    <t>決済失敗時の請求更新を実装する</t>
  </si>
  <si>
    <t>失敗更新</t>
  </si>
  <si>
    <t>3.9.1.3</t>
  </si>
  <si>
    <t>期限切れ時の請求更新を実装する</t>
  </si>
  <si>
    <t>期限切れ更新</t>
  </si>
  <si>
    <t>3.9.1.4</t>
  </si>
  <si>
    <t>返金結果の同期処理を実装する</t>
  </si>
  <si>
    <t>返金同期</t>
  </si>
  <si>
    <t>3.10.1.1</t>
  </si>
  <si>
    <t>再取得</t>
  </si>
  <si>
    <t>バッチ/Queueable</t>
  </si>
  <si>
    <t>決済状態再取得Queueableを実装する</t>
  </si>
  <si>
    <t>再取得処理</t>
  </si>
  <si>
    <t>3.10.1.2</t>
  </si>
  <si>
    <t>再取得対象条件を実装する</t>
  </si>
  <si>
    <t>対象条件</t>
  </si>
  <si>
    <t>3.10.1.3</t>
  </si>
  <si>
    <t>再取得結果を請求へ反映する</t>
  </si>
  <si>
    <t>結果反映</t>
  </si>
  <si>
    <t>3.10.1.4</t>
  </si>
  <si>
    <t>手動再取得ボタンを準備する</t>
  </si>
  <si>
    <t>低</t>
  </si>
  <si>
    <t>手動再取得</t>
  </si>
  <si>
    <t>3.11.1.1</t>
  </si>
  <si>
    <t>画面・帳票</t>
  </si>
  <si>
    <t>経理/CS/経営確認用画面</t>
  </si>
  <si>
    <t>未入金リストビューを作成する</t>
  </si>
  <si>
    <t>リストビュー</t>
  </si>
  <si>
    <t>3.11.1.2</t>
  </si>
  <si>
    <t>決済失敗・期限切れリストビューを作成する</t>
  </si>
  <si>
    <t>3.11.1.3</t>
  </si>
  <si>
    <t>決済状況レポートを作成する</t>
  </si>
  <si>
    <t>レポート</t>
  </si>
  <si>
    <t>3.11.1.4</t>
  </si>
  <si>
    <t>管理者向け連携エラービューを作成する</t>
  </si>
  <si>
    <t>エラービュー</t>
  </si>
  <si>
    <t>3.12.1.1</t>
  </si>
  <si>
    <t>権限</t>
  </si>
  <si>
    <t>権限セット</t>
  </si>
  <si>
    <t>営業向け権限を作成・更新する</t>
  </si>
  <si>
    <t>玉木</t>
  </si>
  <si>
    <t>3.12.1.2</t>
  </si>
  <si>
    <t>経理向け権限を作成・更新する</t>
  </si>
  <si>
    <t>3.12.1.3</t>
  </si>
  <si>
    <t>管理者向け権限・タブ・アプリ表示を調整する</t>
  </si>
  <si>
    <t>高山</t>
  </si>
  <si>
    <t>4.1.1.1</t>
  </si>
  <si>
    <t>テスト</t>
  </si>
  <si>
    <t>単体テスト</t>
  </si>
  <si>
    <t>テストクラス</t>
  </si>
  <si>
    <t>Customer検索・作成のApexテストを作成する</t>
  </si>
  <si>
    <t>4.1.1.2</t>
  </si>
  <si>
    <t>Checkout作成のApexテストを作成する</t>
  </si>
  <si>
    <t>4.1.1.3</t>
  </si>
  <si>
    <t>Webhook・決済反映のApexテストを作成する</t>
  </si>
  <si>
    <t>4.2.1.1</t>
  </si>
  <si>
    <t>シナリオ</t>
  </si>
  <si>
    <t>テスト結果</t>
  </si>
  <si>
    <t>請求からCheckout URLを作成するシナリオを実施する</t>
  </si>
  <si>
    <t>4.2.1.2</t>
  </si>
  <si>
    <t>請求明細がLine Itemへ正しく変換されることを確認する</t>
  </si>
  <si>
    <t>4.2.1.3</t>
  </si>
  <si>
    <t>決済URL再作成・エラー表示を確認する</t>
  </si>
  <si>
    <t>4.3.1.1</t>
  </si>
  <si>
    <t>決済成功Webhookをテストする</t>
  </si>
  <si>
    <t>4.3.1.2</t>
  </si>
  <si>
    <t>決済失敗Webhookをテストする</t>
  </si>
  <si>
    <t>4.3.1.3</t>
  </si>
  <si>
    <t>期限切れWebhookをテストする</t>
  </si>
  <si>
    <t>4.4.1.1</t>
  </si>
  <si>
    <t>返金・取消</t>
  </si>
  <si>
    <t>返金イベント同期をテストする</t>
  </si>
  <si>
    <t>4.4.1.2</t>
  </si>
  <si>
    <t>取消・無効化時の状態を確認する</t>
  </si>
  <si>
    <t>4.4.1.3</t>
  </si>
  <si>
    <t>返金・取消の運用対象外/対象を再確認する</t>
  </si>
  <si>
    <t>確認結果</t>
  </si>
  <si>
    <t>4.5.1.1</t>
  </si>
  <si>
    <t>Stripe Customer ID完全一致をテストする</t>
  </si>
  <si>
    <t>4.5.1.2</t>
  </si>
  <si>
    <t>複数候補時に手動確認となることをテストする</t>
  </si>
  <si>
    <t>4.5.1.3</t>
  </si>
  <si>
    <t>未解決時に誤紐づけされないことをテストする</t>
  </si>
  <si>
    <t>4.6.1.1</t>
  </si>
  <si>
    <t>権限テスト結果</t>
  </si>
  <si>
    <t>営業権限で決済URL作成が可能か確認する</t>
  </si>
  <si>
    <t>権限結果</t>
  </si>
  <si>
    <t>4.6.1.2</t>
  </si>
  <si>
    <t>経理権限で決済状況確認が可能か確認する</t>
  </si>
  <si>
    <t>4.6.1.3</t>
  </si>
  <si>
    <t>管理者権限でログ・設定確認が可能か確認する</t>
  </si>
  <si>
    <t>4.7.1.1</t>
  </si>
  <si>
    <t>技術レビュー</t>
  </si>
  <si>
    <t>技術レビュー結果</t>
  </si>
  <si>
    <t>Apexガバナ制限観点を確認する</t>
  </si>
  <si>
    <t>4.7.1.2</t>
  </si>
  <si>
    <t>Stripe API制限・リトライ観点を確認する</t>
  </si>
  <si>
    <t>4.7.1.3</t>
  </si>
  <si>
    <t>ログ・監査・障害調査性を確認する</t>
  </si>
  <si>
    <t>5.1.1.1</t>
  </si>
  <si>
    <t>UAT</t>
  </si>
  <si>
    <t>営業UAT</t>
  </si>
  <si>
    <t>UAT結果</t>
  </si>
  <si>
    <t>営業が請求から決済URLを作成する</t>
  </si>
  <si>
    <t>5.1.1.2</t>
  </si>
  <si>
    <t>営業が顧客案内に必要なURL・状態を確認する</t>
  </si>
  <si>
    <t>5.1.1.3</t>
  </si>
  <si>
    <t>営業インターンへの影響有無を確認する</t>
  </si>
  <si>
    <t>古川・桐谷、玉木</t>
  </si>
  <si>
    <t>5.2.1.1</t>
  </si>
  <si>
    <t>経理UAT</t>
  </si>
  <si>
    <t>経理が未入金・決済済みを確認する</t>
  </si>
  <si>
    <t>5.2.1.2</t>
  </si>
  <si>
    <t>経理が決済失敗・期限切れを確認する</t>
  </si>
  <si>
    <t>5.2.1.3</t>
  </si>
  <si>
    <t>返金・取消結果確認の運用を確認する</t>
  </si>
  <si>
    <t>5.3.1.1</t>
  </si>
  <si>
    <t>CS/経営UAT</t>
  </si>
  <si>
    <t>CS観点の契約更新・決済状況確認を実施する</t>
  </si>
  <si>
    <t>5.3.1.2</t>
  </si>
  <si>
    <t>経営観点の収益・予実確認影響を確認する</t>
  </si>
  <si>
    <t>5.3.1.3</t>
  </si>
  <si>
    <t>受託案件フローへの影響を確認する</t>
  </si>
  <si>
    <t>畝山</t>
  </si>
  <si>
    <t>5.4.1.1</t>
  </si>
  <si>
    <t>指摘対応</t>
  </si>
  <si>
    <t>修正版</t>
  </si>
  <si>
    <t>UAT指摘を一覧化する</t>
  </si>
  <si>
    <t>各担当</t>
  </si>
  <si>
    <t>指摘一覧</t>
  </si>
  <si>
    <t>5.4.1.2</t>
  </si>
  <si>
    <t>優先度高の指摘を修正する</t>
  </si>
  <si>
    <t>5.4.1.3</t>
  </si>
  <si>
    <t>修正結果を再確認する</t>
  </si>
  <si>
    <t>再確認結果</t>
  </si>
  <si>
    <t>6.1.1.1</t>
  </si>
  <si>
    <t>移行準備</t>
  </si>
  <si>
    <t>業務移行</t>
  </si>
  <si>
    <t>業務移行方針</t>
  </si>
  <si>
    <t>現行freee/Stripe/Salesforce運用との差分を整理する</t>
  </si>
  <si>
    <t>中山、玉木、高山</t>
  </si>
  <si>
    <t>差分整理</t>
  </si>
  <si>
    <t>6.1.1.2</t>
  </si>
  <si>
    <t>新業務の担当者・タイミング・確認画面を定義する</t>
  </si>
  <si>
    <t>6.1.1.3</t>
  </si>
  <si>
    <t>切替日・周知対象・問い合わせ窓口を整理する</t>
  </si>
  <si>
    <t>切替計画</t>
  </si>
  <si>
    <t>6.2.1.1</t>
  </si>
  <si>
    <t>業務手順</t>
  </si>
  <si>
    <t>業務移行手順</t>
  </si>
  <si>
    <t>営業向け運用手順を作成する</t>
  </si>
  <si>
    <t>営業手順</t>
  </si>
  <si>
    <t>6.2.1.2</t>
  </si>
  <si>
    <t>経理向け運用手順を作成する</t>
  </si>
  <si>
    <t>経理手順</t>
  </si>
  <si>
    <t>6.2.1.3</t>
  </si>
  <si>
    <t>障害時一次対応・問い合わせ導線を作成する</t>
  </si>
  <si>
    <t>一次対応手順</t>
  </si>
  <si>
    <t>6.3.1.1</t>
  </si>
  <si>
    <t>システム移行</t>
  </si>
  <si>
    <t>システム移行手順</t>
  </si>
  <si>
    <t>本番反映対象メタデータを整理する</t>
  </si>
  <si>
    <t>リリース対象一覧</t>
  </si>
  <si>
    <t>6.3.1.2</t>
  </si>
  <si>
    <t>Named Credential/APIキー/Webhook設定手順を整理する</t>
  </si>
  <si>
    <t>6.3.1.3</t>
  </si>
  <si>
    <t>権限・タブ・スケジュール確認手順を作成する</t>
  </si>
  <si>
    <t>設定確認表</t>
  </si>
  <si>
    <t>6.3.1.4</t>
  </si>
  <si>
    <t>切り戻し方針を整理する</t>
  </si>
  <si>
    <t>切り戻し方針</t>
  </si>
  <si>
    <t>6.4.1.1</t>
  </si>
  <si>
    <t>データ移行</t>
  </si>
  <si>
    <t>データ移行方針</t>
  </si>
  <si>
    <t>既存Stripe Customer IDの取得形式を確認する</t>
  </si>
  <si>
    <t>取得形式</t>
  </si>
  <si>
    <t>6.4.1.2</t>
  </si>
  <si>
    <t>Salesforce取引先への紐づけキーを定義する</t>
  </si>
  <si>
    <t>紐づけキー</t>
  </si>
  <si>
    <t>6.4.1.3</t>
  </si>
  <si>
    <t>既存請求・決済状態の移行対象範囲を整理する</t>
  </si>
  <si>
    <t>移行対象</t>
  </si>
  <si>
    <t>6.4.1.4</t>
  </si>
  <si>
    <t>移行後照合観点を作成する</t>
  </si>
  <si>
    <t>中山、高山</t>
  </si>
  <si>
    <t>6.5.1.1</t>
  </si>
  <si>
    <t>移行リハ</t>
  </si>
  <si>
    <t>移行リハ結果</t>
  </si>
  <si>
    <t>移行リハーサルを実施する</t>
  </si>
  <si>
    <t>リハ結果</t>
  </si>
  <si>
    <t>6.5.1.2</t>
  </si>
  <si>
    <t>移行後照合を実施する</t>
  </si>
  <si>
    <t>照合結果</t>
  </si>
  <si>
    <t>6.5.1.3</t>
  </si>
  <si>
    <t>リリース判定表を更新する</t>
  </si>
  <si>
    <t>判定表</t>
  </si>
  <si>
    <t>7.1.1.1</t>
  </si>
  <si>
    <t>リリース</t>
  </si>
  <si>
    <t>リリース準備</t>
  </si>
  <si>
    <t>リリース資材</t>
  </si>
  <si>
    <t>package.xml/manifestを作成する</t>
  </si>
  <si>
    <t>manifest</t>
  </si>
  <si>
    <t>7.1.1.2</t>
  </si>
  <si>
    <t>dry-runを実施する</t>
  </si>
  <si>
    <t>dry-run結果</t>
  </si>
  <si>
    <t>7.1.1.3</t>
  </si>
  <si>
    <t>dry-run結果の指摘を修正する</t>
  </si>
  <si>
    <t>7.2.1.1</t>
  </si>
  <si>
    <t>手順書</t>
  </si>
  <si>
    <t>本番リリース手順を作成する</t>
  </si>
  <si>
    <t>7.2.1.2</t>
  </si>
  <si>
    <t>切り戻し手順を作成する</t>
  </si>
  <si>
    <t>切り戻し手順</t>
  </si>
  <si>
    <t>7.2.1.3</t>
  </si>
  <si>
    <t>リリース後確認チェックリストを作成する</t>
  </si>
  <si>
    <t>確認チェックリスト</t>
  </si>
  <si>
    <t>7.3.1.1</t>
  </si>
  <si>
    <t>本番反映</t>
  </si>
  <si>
    <t>リリース結果</t>
  </si>
  <si>
    <t>本番リリースを実施する</t>
  </si>
  <si>
    <t>7.3.1.2</t>
  </si>
  <si>
    <t>リリース後疎通確認を実施する</t>
  </si>
  <si>
    <t>疎通結果</t>
  </si>
  <si>
    <t>7.4.1.1</t>
  </si>
  <si>
    <t>完了報告</t>
  </si>
  <si>
    <t>残課題を整理する</t>
  </si>
  <si>
    <t>残課題一覧</t>
  </si>
  <si>
    <t>7.4.1.2</t>
  </si>
  <si>
    <t>完了報告を作成する</t>
  </si>
  <si>
    <t>8.1.1.1</t>
  </si>
  <si>
    <t>予備</t>
  </si>
  <si>
    <t>調整</t>
  </si>
  <si>
    <t>調整対応</t>
  </si>
  <si>
    <t>要件調整・障害対応に充当する</t>
  </si>
  <si>
    <t>必要に応じて</t>
  </si>
  <si>
    <t>区分</t>
  </si>
  <si>
    <t>L4タスク</t>
  </si>
  <si>
    <t>主担当</t>
  </si>
  <si>
    <t>確認者</t>
  </si>
  <si>
    <t>完了条件</t>
  </si>
  <si>
    <t>現行freee/Stripe/Salesforce運用との差分整理</t>
  </si>
  <si>
    <t>担当・タイミング・確認画面が明確</t>
  </si>
  <si>
    <t>営業・経理向け運用手順作成</t>
  </si>
  <si>
    <t>操作手順と一次対応が明記</t>
  </si>
  <si>
    <t>本番反映対象メタデータ整理</t>
  </si>
  <si>
    <t>リリース対象が明確</t>
  </si>
  <si>
    <t>Stripe接続設定確認</t>
  </si>
  <si>
    <t>APIキー、Webhook、署名シークレット手順が確定</t>
  </si>
  <si>
    <t>既存Stripe Customer ID取得方針整理</t>
  </si>
  <si>
    <t>Salesforce取引先への紐づけ方法が決定</t>
  </si>
  <si>
    <t>名寄せ・照合ルール確定</t>
  </si>
  <si>
    <t>完全一致・手動確認基準が決定</t>
  </si>
  <si>
    <t>移行後照合</t>
  </si>
  <si>
    <t>件数・未紐づけ・重複候補の確認観点が揃う</t>
  </si>
  <si>
    <t>No</t>
  </si>
  <si>
    <t>リスク</t>
  </si>
  <si>
    <t>影響</t>
  </si>
  <si>
    <t>対策</t>
  </si>
  <si>
    <t>関連フェーズ</t>
  </si>
  <si>
    <t>Stripe Customerの名寄せ誤り</t>
  </si>
  <si>
    <t>別顧客への決済紐づけ</t>
  </si>
  <si>
    <t>完全一致以外は手動確認</t>
  </si>
  <si>
    <t>要件定義/データ移行</t>
  </si>
  <si>
    <t>Webhook未着・重複</t>
  </si>
  <si>
    <t>決済状態不整合</t>
  </si>
  <si>
    <t>Event ID冪等性、再取得バッチ</t>
  </si>
  <si>
    <t>実装/テスト</t>
  </si>
  <si>
    <t>Stripe API仕様・認証設定の確認遅延</t>
  </si>
  <si>
    <t>実装遅延</t>
  </si>
  <si>
    <t>横溝・小室に早期確認依頼</t>
  </si>
  <si>
    <t>設計/システム移行</t>
  </si>
  <si>
    <t>経理運用がfreeeとStripeで混在</t>
  </si>
  <si>
    <t>入金確認漏れ</t>
  </si>
  <si>
    <t>役割分担を明文化</t>
  </si>
  <si>
    <t>期間内にフルスコープが収まらない</t>
  </si>
  <si>
    <t>リリース遅延</t>
  </si>
  <si>
    <t>初期スコープを絞る</t>
  </si>
  <si>
    <t>全体</t>
  </si>
  <si>
    <t>業務移行の周知不足</t>
  </si>
  <si>
    <t>旧運用継続による二重管理</t>
  </si>
  <si>
    <t>切替日と問い合わせ先を周知</t>
  </si>
  <si>
    <t>メンバー</t>
  </si>
  <si>
    <t>役割</t>
  </si>
  <si>
    <t>WBS上の主な関与</t>
  </si>
  <si>
    <t>横溝（CTO）</t>
  </si>
  <si>
    <t>決済・自社サービスシステム構築全体</t>
  </si>
  <si>
    <t>アーキテクチャ確認、Stripe方針確認、技術判断</t>
  </si>
  <si>
    <t>アプリケーションエンジニア</t>
  </si>
  <si>
    <t>Stripe API仕様確認、Webhook仕様確認、技術レビュー</t>
  </si>
  <si>
    <t>中山（総務）</t>
  </si>
  <si>
    <t>経理担当</t>
  </si>
  <si>
    <t>決済ステータス、未入金、返金・取消、経理UAT確認</t>
  </si>
  <si>
    <t>CS担当</t>
  </si>
  <si>
    <t>契約・請求フロー、CS観点のUAT、ダッシュボード確認</t>
  </si>
  <si>
    <t>CSO</t>
  </si>
  <si>
    <t>全体方針確認、業務影響確認、リリース判断</t>
  </si>
  <si>
    <t>加藤</t>
  </si>
  <si>
    <t>代表</t>
  </si>
  <si>
    <t>収益管理観点、経営ダッシュボード観点、最終承認</t>
  </si>
  <si>
    <t>受託PM</t>
  </si>
  <si>
    <t>受託案件フローのUAT、例外パターン確認</t>
  </si>
  <si>
    <t>古川・桐谷</t>
  </si>
  <si>
    <t>営業インターン</t>
  </si>
  <si>
    <t>必要に応じて営業入力フロー確認</t>
  </si>
  <si>
    <t>日付</t>
  </si>
  <si>
    <t>マイルストーン</t>
  </si>
  <si>
    <t>判定基準</t>
  </si>
  <si>
    <t>主な確認者</t>
  </si>
  <si>
    <t>要件・方式確定</t>
  </si>
  <si>
    <t>スコープ、対象外、名寄せ、決済方式が確定</t>
  </si>
  <si>
    <t>横溝、高山、中山</t>
  </si>
  <si>
    <t>設計確定</t>
  </si>
  <si>
    <t>オブジェクト、項目、API、Webhook、権限設計が確定</t>
  </si>
  <si>
    <t>主要実装完了</t>
  </si>
  <si>
    <t>Checkout作成、Webhook受信、ログ、権限の実装が完了</t>
  </si>
  <si>
    <t>結合テスト完了</t>
  </si>
  <si>
    <t>決済成功・失敗・期限切れの主要シナリオが通過</t>
  </si>
  <si>
    <t>移行準備完了</t>
  </si>
  <si>
    <t>業務移行、システム移行、データ移行の手順が揃う</t>
  </si>
  <si>
    <t>中山、玉木、横溝</t>
  </si>
  <si>
    <t>UAT・移行リハ・リリース判定</t>
  </si>
  <si>
    <t>主要UATと移行リハが完了し重大障害なし</t>
  </si>
  <si>
    <t>リリース完了</t>
  </si>
  <si>
    <t>本番反映、権限確認、疎通確認、完了報告が完了</t>
  </si>
  <si>
    <t>予定開始日</t>
    <phoneticPr fontId="1"/>
  </si>
  <si>
    <t>予定終了日</t>
    <phoneticPr fontId="1"/>
  </si>
  <si>
    <t>WBS ID</t>
    <phoneticPr fontId="1"/>
  </si>
  <si>
    <t>L1 フェーズ</t>
    <phoneticPr fontId="1"/>
  </si>
  <si>
    <t>L2 ワークストリーム</t>
    <phoneticPr fontId="1"/>
  </si>
  <si>
    <t>L3 成果物</t>
    <phoneticPr fontId="1"/>
  </si>
  <si>
    <t>L4 タスク</t>
    <phoneticPr fontId="1"/>
  </si>
  <si>
    <t>予定工数(h)</t>
    <phoneticPr fontId="1"/>
  </si>
  <si>
    <t>実績開始日</t>
    <phoneticPr fontId="1"/>
  </si>
  <si>
    <t>実績終了日</t>
    <phoneticPr fontId="1"/>
  </si>
  <si>
    <t>実績工数(h)</t>
    <phoneticPr fontId="1"/>
  </si>
  <si>
    <t>担当</t>
    <phoneticPr fontId="1"/>
  </si>
  <si>
    <t>クライアント確認者</t>
    <phoneticPr fontId="1"/>
  </si>
  <si>
    <t>ステータス</t>
    <phoneticPr fontId="1"/>
  </si>
  <si>
    <t>優先度</t>
    <phoneticPr fontId="1"/>
  </si>
  <si>
    <t>依存関係</t>
    <phoneticPr fontId="1"/>
  </si>
  <si>
    <t>成果物</t>
    <phoneticPr fontId="1"/>
  </si>
  <si>
    <t>備考</t>
    <phoneticPr fontId="1"/>
  </si>
  <si>
    <t>計画進捗率</t>
    <phoneticPr fontId="1"/>
  </si>
  <si>
    <t>実績進捗率</t>
    <phoneticPr fontId="1"/>
  </si>
  <si>
    <t>PV(h)</t>
    <phoneticPr fontId="1"/>
  </si>
  <si>
    <t>EV(h)</t>
    <phoneticPr fontId="1"/>
  </si>
  <si>
    <t>SPI</t>
    <phoneticPr fontId="1"/>
  </si>
  <si>
    <t>SPI判定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</si>
</sst>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sz val="10"/>
      <color rgb="FFFFFFFF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3C3C7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vertical="center" wrapText="1"/>
    </xf>
    <xf numFmtId="177" fontId="0" fillId="0" borderId="0" xfId="0" applyNumberFormat="1">
      <alignment vertical="center"/>
    </xf>
    <xf numFmtId="9" fontId="3" fillId="2" borderId="1" xfId="0" applyNumberFormat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vertical="center" wrapText="1"/>
    </xf>
    <xf numFmtId="9" fontId="0" fillId="0" borderId="0" xfId="0" applyNumberFormat="1">
      <alignment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 wrapText="1"/>
    </xf>
    <xf numFmtId="2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0" fontId="3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A8C1-A05D-4343-B570-7FFC23A04FA1}">
  <dimension ref="A1:B10"/>
  <sheetViews>
    <sheetView workbookViewId="0"/>
  </sheetViews>
  <sheetFormatPr defaultRowHeight="18.75" x14ac:dyDescent="0.4"/>
  <cols>
    <col min="1" max="1" width="14.125" bestFit="1" customWidth="1"/>
    <col min="2" max="2" width="57.875" bestFit="1" customWidth="1"/>
  </cols>
  <sheetData>
    <row r="1" spans="1:2" x14ac:dyDescent="0.4">
      <c r="A1" s="20" t="s">
        <v>0</v>
      </c>
      <c r="B1" s="20" t="s">
        <v>1</v>
      </c>
    </row>
    <row r="2" spans="1:2" x14ac:dyDescent="0.4">
      <c r="A2" s="17" t="s">
        <v>2</v>
      </c>
      <c r="B2" s="17" t="s">
        <v>3</v>
      </c>
    </row>
    <row r="3" spans="1:2" x14ac:dyDescent="0.4">
      <c r="A3" s="17" t="s">
        <v>4</v>
      </c>
      <c r="B3" s="17">
        <v>140</v>
      </c>
    </row>
    <row r="4" spans="1:2" x14ac:dyDescent="0.4">
      <c r="A4" s="17" t="s">
        <v>5</v>
      </c>
      <c r="B4" s="17">
        <v>137</v>
      </c>
    </row>
    <row r="5" spans="1:2" x14ac:dyDescent="0.4">
      <c r="A5" s="17" t="s">
        <v>6</v>
      </c>
      <c r="B5" s="17">
        <v>203</v>
      </c>
    </row>
    <row r="6" spans="1:2" x14ac:dyDescent="0.4">
      <c r="A6" s="17" t="s">
        <v>7</v>
      </c>
      <c r="B6" s="18">
        <v>46217</v>
      </c>
    </row>
    <row r="7" spans="1:2" x14ac:dyDescent="0.4">
      <c r="A7" s="17" t="s">
        <v>8</v>
      </c>
      <c r="B7" s="18">
        <v>46244</v>
      </c>
    </row>
    <row r="8" spans="1:2" x14ac:dyDescent="0.4">
      <c r="A8" s="17" t="s">
        <v>9</v>
      </c>
      <c r="B8" s="17" t="s">
        <v>10</v>
      </c>
    </row>
    <row r="9" spans="1:2" x14ac:dyDescent="0.4">
      <c r="A9" s="17" t="s">
        <v>11</v>
      </c>
      <c r="B9" s="19">
        <v>46217</v>
      </c>
    </row>
    <row r="10" spans="1:2" x14ac:dyDescent="0.4">
      <c r="A10" s="17" t="s">
        <v>12</v>
      </c>
      <c r="B10" s="17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4294-4F6A-4A36-8DEE-8C7C0D78296A}">
  <dimension ref="A1:X138"/>
  <sheetViews>
    <sheetView tabSelected="1" workbookViewId="0">
      <pane ySplit="1" topLeftCell="A2" activePane="bottomLeft" state="frozenSplit"/>
      <selection pane="bottomLeft"/>
    </sheetView>
  </sheetViews>
  <sheetFormatPr defaultRowHeight="18.75" x14ac:dyDescent="0.4"/>
  <cols>
    <col min="1" max="1" width="14.625" customWidth="1"/>
    <col min="2" max="2" width="16.625" customWidth="1"/>
    <col min="3" max="3" width="20.625" customWidth="1"/>
    <col min="4" max="4" width="22.625" customWidth="1"/>
    <col min="5" max="5" width="52.625" customWidth="1"/>
    <col min="6" max="7" width="12.625" style="1" customWidth="1"/>
    <col min="8" max="8" width="12.625" style="10" customWidth="1"/>
    <col min="9" max="10" width="12.625" style="1" customWidth="1"/>
    <col min="11" max="11" width="12.625" style="10" customWidth="1"/>
    <col min="12" max="12" width="14.625" customWidth="1"/>
    <col min="13" max="13" width="24.625" customWidth="1"/>
    <col min="14" max="14" width="12.625" customWidth="1"/>
    <col min="15" max="15" width="10.625" customWidth="1"/>
    <col min="16" max="17" width="24.625" customWidth="1"/>
    <col min="18" max="18" width="42.625" customWidth="1"/>
    <col min="19" max="20" width="12.625" style="13" customWidth="1"/>
    <col min="21" max="22" width="10.625" style="10" customWidth="1"/>
    <col min="23" max="23" width="10.625" style="16" customWidth="1"/>
    <col min="24" max="24" width="18.625" customWidth="1"/>
  </cols>
  <sheetData>
    <row r="1" spans="1:24" x14ac:dyDescent="0.4">
      <c r="A1" s="5" t="s">
        <v>578</v>
      </c>
      <c r="B1" s="5" t="s">
        <v>579</v>
      </c>
      <c r="C1" s="5" t="s">
        <v>580</v>
      </c>
      <c r="D1" s="5" t="s">
        <v>581</v>
      </c>
      <c r="E1" s="5" t="s">
        <v>582</v>
      </c>
      <c r="F1" s="6" t="s">
        <v>576</v>
      </c>
      <c r="G1" s="6" t="s">
        <v>577</v>
      </c>
      <c r="H1" s="8" t="s">
        <v>583</v>
      </c>
      <c r="I1" s="6" t="s">
        <v>584</v>
      </c>
      <c r="J1" s="6" t="s">
        <v>585</v>
      </c>
      <c r="K1" s="8" t="s">
        <v>586</v>
      </c>
      <c r="L1" s="5" t="s">
        <v>587</v>
      </c>
      <c r="M1" s="5" t="s">
        <v>588</v>
      </c>
      <c r="N1" s="5" t="s">
        <v>589</v>
      </c>
      <c r="O1" s="5" t="s">
        <v>590</v>
      </c>
      <c r="P1" s="5" t="s">
        <v>591</v>
      </c>
      <c r="Q1" s="5" t="s">
        <v>592</v>
      </c>
      <c r="R1" s="5" t="s">
        <v>593</v>
      </c>
      <c r="S1" s="11" t="s">
        <v>594</v>
      </c>
      <c r="T1" s="11" t="s">
        <v>595</v>
      </c>
      <c r="U1" s="8" t="s">
        <v>596</v>
      </c>
      <c r="V1" s="8" t="s">
        <v>597</v>
      </c>
      <c r="W1" s="14" t="s">
        <v>598</v>
      </c>
      <c r="X1" s="5" t="s">
        <v>599</v>
      </c>
    </row>
    <row r="2" spans="1:24" x14ac:dyDescent="0.4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7">
        <v>46217</v>
      </c>
      <c r="G2" s="7">
        <v>46217</v>
      </c>
      <c r="H2" s="9">
        <v>1</v>
      </c>
      <c r="I2" s="7"/>
      <c r="J2" s="7"/>
      <c r="K2" s="9"/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18</v>
      </c>
      <c r="R2" s="2"/>
      <c r="S2" s="12">
        <f>IF(OR(F2="",G2=""),0,MAX(0,MIN(1,(サマリ!$B$9-F2+1)/(G2-F2+1))))</f>
        <v>1</v>
      </c>
      <c r="T2" s="12">
        <f t="shared" ref="T2:T33" si="0">IF(N2="完了",1,IF(N2="進行中",0.5,IF(N2="保留",0,0)))</f>
        <v>0</v>
      </c>
      <c r="U2" s="9">
        <f t="shared" ref="U2:U33" si="1">H2*S2</f>
        <v>1</v>
      </c>
      <c r="V2" s="9">
        <f t="shared" ref="V2:V33" si="2">H2*T2</f>
        <v>0</v>
      </c>
      <c r="W2" s="15">
        <f t="shared" ref="W2:W33" si="3">IF(U2=0,"",V2/U2)</f>
        <v>0</v>
      </c>
      <c r="X2" s="2" t="str">
        <f t="shared" ref="X2:X33" si="4">IF(W2="","未計測",IF(W2&gt;=1,"予定通り/前倒し",IF(W2&gt;=0.9,"要注意","遅延")))</f>
        <v>遅延</v>
      </c>
    </row>
    <row r="3" spans="1:24" x14ac:dyDescent="0.4">
      <c r="A3" s="2" t="s">
        <v>25</v>
      </c>
      <c r="B3" s="2" t="s">
        <v>16</v>
      </c>
      <c r="C3" s="2" t="s">
        <v>17</v>
      </c>
      <c r="D3" s="2" t="s">
        <v>18</v>
      </c>
      <c r="E3" s="2" t="s">
        <v>26</v>
      </c>
      <c r="F3" s="7">
        <v>46217</v>
      </c>
      <c r="G3" s="7">
        <v>46217</v>
      </c>
      <c r="H3" s="9">
        <v>1</v>
      </c>
      <c r="I3" s="7"/>
      <c r="J3" s="7"/>
      <c r="K3" s="9"/>
      <c r="L3" s="2" t="s">
        <v>20</v>
      </c>
      <c r="M3" s="2" t="s">
        <v>21</v>
      </c>
      <c r="N3" s="2" t="s">
        <v>22</v>
      </c>
      <c r="O3" s="2" t="s">
        <v>23</v>
      </c>
      <c r="P3" s="2" t="s">
        <v>15</v>
      </c>
      <c r="Q3" s="2" t="s">
        <v>27</v>
      </c>
      <c r="R3" s="2"/>
      <c r="S3" s="12">
        <f>IF(OR(F3="",G3=""),0,MAX(0,MIN(1,(サマリ!$B$9-F3+1)/(G3-F3+1))))</f>
        <v>1</v>
      </c>
      <c r="T3" s="12">
        <f t="shared" si="0"/>
        <v>0</v>
      </c>
      <c r="U3" s="9">
        <f t="shared" si="1"/>
        <v>1</v>
      </c>
      <c r="V3" s="9">
        <f t="shared" si="2"/>
        <v>0</v>
      </c>
      <c r="W3" s="15">
        <f t="shared" si="3"/>
        <v>0</v>
      </c>
      <c r="X3" s="2" t="str">
        <f t="shared" si="4"/>
        <v>遅延</v>
      </c>
    </row>
    <row r="4" spans="1:24" x14ac:dyDescent="0.4">
      <c r="A4" s="2" t="s">
        <v>28</v>
      </c>
      <c r="B4" s="2" t="s">
        <v>16</v>
      </c>
      <c r="C4" s="2" t="s">
        <v>17</v>
      </c>
      <c r="D4" s="2" t="s">
        <v>18</v>
      </c>
      <c r="E4" s="2" t="s">
        <v>29</v>
      </c>
      <c r="F4" s="7">
        <v>46217</v>
      </c>
      <c r="G4" s="7">
        <v>46217</v>
      </c>
      <c r="H4" s="9">
        <v>1</v>
      </c>
      <c r="I4" s="7"/>
      <c r="J4" s="7"/>
      <c r="K4" s="9"/>
      <c r="L4" s="2" t="s">
        <v>20</v>
      </c>
      <c r="M4" s="2" t="s">
        <v>30</v>
      </c>
      <c r="N4" s="2" t="s">
        <v>22</v>
      </c>
      <c r="O4" s="2" t="s">
        <v>23</v>
      </c>
      <c r="P4" s="2" t="s">
        <v>25</v>
      </c>
      <c r="Q4" s="2" t="s">
        <v>31</v>
      </c>
      <c r="R4" s="2"/>
      <c r="S4" s="12">
        <f>IF(OR(F4="",G4=""),0,MAX(0,MIN(1,(サマリ!$B$9-F4+1)/(G4-F4+1))))</f>
        <v>1</v>
      </c>
      <c r="T4" s="12">
        <f t="shared" si="0"/>
        <v>0</v>
      </c>
      <c r="U4" s="9">
        <f t="shared" si="1"/>
        <v>1</v>
      </c>
      <c r="V4" s="9">
        <f t="shared" si="2"/>
        <v>0</v>
      </c>
      <c r="W4" s="15">
        <f t="shared" si="3"/>
        <v>0</v>
      </c>
      <c r="X4" s="2" t="str">
        <f t="shared" si="4"/>
        <v>遅延</v>
      </c>
    </row>
    <row r="5" spans="1:24" x14ac:dyDescent="0.4">
      <c r="A5" s="2" t="s">
        <v>32</v>
      </c>
      <c r="B5" s="2" t="s">
        <v>16</v>
      </c>
      <c r="C5" s="2" t="s">
        <v>33</v>
      </c>
      <c r="D5" s="2" t="s">
        <v>34</v>
      </c>
      <c r="E5" s="2" t="s">
        <v>35</v>
      </c>
      <c r="F5" s="7">
        <v>46217</v>
      </c>
      <c r="G5" s="7">
        <v>46218</v>
      </c>
      <c r="H5" s="9">
        <v>1.5</v>
      </c>
      <c r="I5" s="7"/>
      <c r="J5" s="7"/>
      <c r="K5" s="9"/>
      <c r="L5" s="2" t="s">
        <v>20</v>
      </c>
      <c r="M5" s="2" t="s">
        <v>36</v>
      </c>
      <c r="N5" s="2" t="s">
        <v>22</v>
      </c>
      <c r="O5" s="2" t="s">
        <v>23</v>
      </c>
      <c r="P5" s="2" t="s">
        <v>25</v>
      </c>
      <c r="Q5" s="2" t="s">
        <v>37</v>
      </c>
      <c r="R5" s="2"/>
      <c r="S5" s="12">
        <f>IF(OR(F5="",G5=""),0,MAX(0,MIN(1,(サマリ!$B$9-F5+1)/(G5-F5+1))))</f>
        <v>0.5</v>
      </c>
      <c r="T5" s="12">
        <f t="shared" si="0"/>
        <v>0</v>
      </c>
      <c r="U5" s="9">
        <f t="shared" si="1"/>
        <v>0.75</v>
      </c>
      <c r="V5" s="9">
        <f t="shared" si="2"/>
        <v>0</v>
      </c>
      <c r="W5" s="15">
        <f t="shared" si="3"/>
        <v>0</v>
      </c>
      <c r="X5" s="2" t="str">
        <f t="shared" si="4"/>
        <v>遅延</v>
      </c>
    </row>
    <row r="6" spans="1:24" x14ac:dyDescent="0.4">
      <c r="A6" s="2" t="s">
        <v>38</v>
      </c>
      <c r="B6" s="2" t="s">
        <v>16</v>
      </c>
      <c r="C6" s="2" t="s">
        <v>33</v>
      </c>
      <c r="D6" s="2" t="s">
        <v>34</v>
      </c>
      <c r="E6" s="2" t="s">
        <v>39</v>
      </c>
      <c r="F6" s="7">
        <v>46218</v>
      </c>
      <c r="G6" s="7">
        <v>46218</v>
      </c>
      <c r="H6" s="9">
        <v>1.5</v>
      </c>
      <c r="I6" s="7"/>
      <c r="J6" s="7"/>
      <c r="K6" s="9"/>
      <c r="L6" s="2" t="s">
        <v>20</v>
      </c>
      <c r="M6" s="2" t="s">
        <v>40</v>
      </c>
      <c r="N6" s="2" t="s">
        <v>22</v>
      </c>
      <c r="O6" s="2" t="s">
        <v>23</v>
      </c>
      <c r="P6" s="2" t="s">
        <v>32</v>
      </c>
      <c r="Q6" s="2" t="s">
        <v>41</v>
      </c>
      <c r="R6" s="2"/>
      <c r="S6" s="12">
        <f>IF(OR(F6="",G6=""),0,MAX(0,MIN(1,(サマリ!$B$9-F6+1)/(G6-F6+1))))</f>
        <v>0</v>
      </c>
      <c r="T6" s="12">
        <f t="shared" si="0"/>
        <v>0</v>
      </c>
      <c r="U6" s="9">
        <f t="shared" si="1"/>
        <v>0</v>
      </c>
      <c r="V6" s="9">
        <f t="shared" si="2"/>
        <v>0</v>
      </c>
      <c r="W6" s="15" t="str">
        <f t="shared" si="3"/>
        <v/>
      </c>
      <c r="X6" s="2" t="str">
        <f t="shared" si="4"/>
        <v>未計測</v>
      </c>
    </row>
    <row r="7" spans="1:24" x14ac:dyDescent="0.4">
      <c r="A7" s="2" t="s">
        <v>42</v>
      </c>
      <c r="B7" s="2" t="s">
        <v>16</v>
      </c>
      <c r="C7" s="2" t="s">
        <v>33</v>
      </c>
      <c r="D7" s="2" t="s">
        <v>34</v>
      </c>
      <c r="E7" s="2" t="s">
        <v>43</v>
      </c>
      <c r="F7" s="7">
        <v>46218</v>
      </c>
      <c r="G7" s="7">
        <v>46218</v>
      </c>
      <c r="H7" s="9">
        <v>1</v>
      </c>
      <c r="I7" s="7"/>
      <c r="J7" s="7"/>
      <c r="K7" s="9"/>
      <c r="L7" s="2" t="s">
        <v>20</v>
      </c>
      <c r="M7" s="2" t="s">
        <v>44</v>
      </c>
      <c r="N7" s="2" t="s">
        <v>22</v>
      </c>
      <c r="O7" s="2" t="s">
        <v>45</v>
      </c>
      <c r="P7" s="2" t="s">
        <v>38</v>
      </c>
      <c r="Q7" s="2" t="s">
        <v>46</v>
      </c>
      <c r="R7" s="2"/>
      <c r="S7" s="12">
        <f>IF(OR(F7="",G7=""),0,MAX(0,MIN(1,(サマリ!$B$9-F7+1)/(G7-F7+1))))</f>
        <v>0</v>
      </c>
      <c r="T7" s="12">
        <f t="shared" si="0"/>
        <v>0</v>
      </c>
      <c r="U7" s="9">
        <f t="shared" si="1"/>
        <v>0</v>
      </c>
      <c r="V7" s="9">
        <f t="shared" si="2"/>
        <v>0</v>
      </c>
      <c r="W7" s="15" t="str">
        <f t="shared" si="3"/>
        <v/>
      </c>
      <c r="X7" s="2" t="str">
        <f t="shared" si="4"/>
        <v>未計測</v>
      </c>
    </row>
    <row r="8" spans="1:24" x14ac:dyDescent="0.4">
      <c r="A8" s="2" t="s">
        <v>47</v>
      </c>
      <c r="B8" s="2" t="s">
        <v>16</v>
      </c>
      <c r="C8" s="2" t="s">
        <v>48</v>
      </c>
      <c r="D8" s="2" t="s">
        <v>49</v>
      </c>
      <c r="E8" s="2" t="s">
        <v>50</v>
      </c>
      <c r="F8" s="7">
        <v>46218</v>
      </c>
      <c r="G8" s="7">
        <v>46219</v>
      </c>
      <c r="H8" s="9">
        <v>1.5</v>
      </c>
      <c r="I8" s="7"/>
      <c r="J8" s="7"/>
      <c r="K8" s="9"/>
      <c r="L8" s="2" t="s">
        <v>20</v>
      </c>
      <c r="M8" s="2" t="s">
        <v>51</v>
      </c>
      <c r="N8" s="2" t="s">
        <v>22</v>
      </c>
      <c r="O8" s="2" t="s">
        <v>23</v>
      </c>
      <c r="P8" s="2" t="s">
        <v>25</v>
      </c>
      <c r="Q8" s="2" t="s">
        <v>52</v>
      </c>
      <c r="R8" s="2"/>
      <c r="S8" s="12">
        <f>IF(OR(F8="",G8=""),0,MAX(0,MIN(1,(サマリ!$B$9-F8+1)/(G8-F8+1))))</f>
        <v>0</v>
      </c>
      <c r="T8" s="12">
        <f t="shared" si="0"/>
        <v>0</v>
      </c>
      <c r="U8" s="9">
        <f t="shared" si="1"/>
        <v>0</v>
      </c>
      <c r="V8" s="9">
        <f t="shared" si="2"/>
        <v>0</v>
      </c>
      <c r="W8" s="15" t="str">
        <f t="shared" si="3"/>
        <v/>
      </c>
      <c r="X8" s="2" t="str">
        <f t="shared" si="4"/>
        <v>未計測</v>
      </c>
    </row>
    <row r="9" spans="1:24" x14ac:dyDescent="0.4">
      <c r="A9" s="2" t="s">
        <v>53</v>
      </c>
      <c r="B9" s="2" t="s">
        <v>16</v>
      </c>
      <c r="C9" s="2" t="s">
        <v>48</v>
      </c>
      <c r="D9" s="2" t="s">
        <v>49</v>
      </c>
      <c r="E9" s="2" t="s">
        <v>54</v>
      </c>
      <c r="F9" s="7">
        <v>46219</v>
      </c>
      <c r="G9" s="7">
        <v>46219</v>
      </c>
      <c r="H9" s="9">
        <v>1</v>
      </c>
      <c r="I9" s="7"/>
      <c r="J9" s="7"/>
      <c r="K9" s="9"/>
      <c r="L9" s="2" t="s">
        <v>20</v>
      </c>
      <c r="M9" s="2" t="s">
        <v>51</v>
      </c>
      <c r="N9" s="2" t="s">
        <v>22</v>
      </c>
      <c r="O9" s="2" t="s">
        <v>45</v>
      </c>
      <c r="P9" s="2" t="s">
        <v>47</v>
      </c>
      <c r="Q9" s="2" t="s">
        <v>55</v>
      </c>
      <c r="R9" s="2"/>
      <c r="S9" s="12">
        <f>IF(OR(F9="",G9=""),0,MAX(0,MIN(1,(サマリ!$B$9-F9+1)/(G9-F9+1))))</f>
        <v>0</v>
      </c>
      <c r="T9" s="12">
        <f t="shared" si="0"/>
        <v>0</v>
      </c>
      <c r="U9" s="9">
        <f t="shared" si="1"/>
        <v>0</v>
      </c>
      <c r="V9" s="9">
        <f t="shared" si="2"/>
        <v>0</v>
      </c>
      <c r="W9" s="15" t="str">
        <f t="shared" si="3"/>
        <v/>
      </c>
      <c r="X9" s="2" t="str">
        <f t="shared" si="4"/>
        <v>未計測</v>
      </c>
    </row>
    <row r="10" spans="1:24" x14ac:dyDescent="0.4">
      <c r="A10" s="2" t="s">
        <v>56</v>
      </c>
      <c r="B10" s="2" t="s">
        <v>16</v>
      </c>
      <c r="C10" s="2" t="s">
        <v>48</v>
      </c>
      <c r="D10" s="2" t="s">
        <v>49</v>
      </c>
      <c r="E10" s="2" t="s">
        <v>57</v>
      </c>
      <c r="F10" s="7">
        <v>46219</v>
      </c>
      <c r="G10" s="7">
        <v>46219</v>
      </c>
      <c r="H10" s="9">
        <v>1.5</v>
      </c>
      <c r="I10" s="7"/>
      <c r="J10" s="7"/>
      <c r="K10" s="9"/>
      <c r="L10" s="2" t="s">
        <v>20</v>
      </c>
      <c r="M10" s="2" t="s">
        <v>58</v>
      </c>
      <c r="N10" s="2" t="s">
        <v>22</v>
      </c>
      <c r="O10" s="2" t="s">
        <v>23</v>
      </c>
      <c r="P10" s="2" t="s">
        <v>47</v>
      </c>
      <c r="Q10" s="2" t="s">
        <v>59</v>
      </c>
      <c r="R10" s="2"/>
      <c r="S10" s="12">
        <f>IF(OR(F10="",G10=""),0,MAX(0,MIN(1,(サマリ!$B$9-F10+1)/(G10-F10+1))))</f>
        <v>0</v>
      </c>
      <c r="T10" s="12">
        <f t="shared" si="0"/>
        <v>0</v>
      </c>
      <c r="U10" s="9">
        <f t="shared" si="1"/>
        <v>0</v>
      </c>
      <c r="V10" s="9">
        <f t="shared" si="2"/>
        <v>0</v>
      </c>
      <c r="W10" s="15" t="str">
        <f t="shared" si="3"/>
        <v/>
      </c>
      <c r="X10" s="2" t="str">
        <f t="shared" si="4"/>
        <v>未計測</v>
      </c>
    </row>
    <row r="11" spans="1:24" x14ac:dyDescent="0.4">
      <c r="A11" s="2" t="s">
        <v>60</v>
      </c>
      <c r="B11" s="2" t="s">
        <v>16</v>
      </c>
      <c r="C11" s="2" t="s">
        <v>61</v>
      </c>
      <c r="D11" s="2" t="s">
        <v>62</v>
      </c>
      <c r="E11" s="2" t="s">
        <v>63</v>
      </c>
      <c r="F11" s="7">
        <v>46219</v>
      </c>
      <c r="G11" s="7">
        <v>46219</v>
      </c>
      <c r="H11" s="9">
        <v>1</v>
      </c>
      <c r="I11" s="7"/>
      <c r="J11" s="7"/>
      <c r="K11" s="9"/>
      <c r="L11" s="2" t="s">
        <v>20</v>
      </c>
      <c r="M11" s="2" t="s">
        <v>51</v>
      </c>
      <c r="N11" s="2" t="s">
        <v>22</v>
      </c>
      <c r="O11" s="2" t="s">
        <v>23</v>
      </c>
      <c r="P11" s="2" t="s">
        <v>56</v>
      </c>
      <c r="Q11" s="2" t="s">
        <v>64</v>
      </c>
      <c r="R11" s="2"/>
      <c r="S11" s="12">
        <f>IF(OR(F11="",G11=""),0,MAX(0,MIN(1,(サマリ!$B$9-F11+1)/(G11-F11+1))))</f>
        <v>0</v>
      </c>
      <c r="T11" s="12">
        <f t="shared" si="0"/>
        <v>0</v>
      </c>
      <c r="U11" s="9">
        <f t="shared" si="1"/>
        <v>0</v>
      </c>
      <c r="V11" s="9">
        <f t="shared" si="2"/>
        <v>0</v>
      </c>
      <c r="W11" s="15" t="str">
        <f t="shared" si="3"/>
        <v/>
      </c>
      <c r="X11" s="2" t="str">
        <f t="shared" si="4"/>
        <v>未計測</v>
      </c>
    </row>
    <row r="12" spans="1:24" x14ac:dyDescent="0.4">
      <c r="A12" s="2" t="s">
        <v>65</v>
      </c>
      <c r="B12" s="2" t="s">
        <v>16</v>
      </c>
      <c r="C12" s="2" t="s">
        <v>61</v>
      </c>
      <c r="D12" s="2" t="s">
        <v>62</v>
      </c>
      <c r="E12" s="2" t="s">
        <v>66</v>
      </c>
      <c r="F12" s="7">
        <v>46220</v>
      </c>
      <c r="G12" s="7">
        <v>46220</v>
      </c>
      <c r="H12" s="9">
        <v>1.5</v>
      </c>
      <c r="I12" s="7"/>
      <c r="J12" s="7"/>
      <c r="K12" s="9"/>
      <c r="L12" s="2" t="s">
        <v>20</v>
      </c>
      <c r="M12" s="2" t="s">
        <v>67</v>
      </c>
      <c r="N12" s="2" t="s">
        <v>22</v>
      </c>
      <c r="O12" s="2" t="s">
        <v>23</v>
      </c>
      <c r="P12" s="2" t="s">
        <v>60</v>
      </c>
      <c r="Q12" s="2" t="s">
        <v>68</v>
      </c>
      <c r="R12" s="2"/>
      <c r="S12" s="12">
        <f>IF(OR(F12="",G12=""),0,MAX(0,MIN(1,(サマリ!$B$9-F12+1)/(G12-F12+1))))</f>
        <v>0</v>
      </c>
      <c r="T12" s="12">
        <f t="shared" si="0"/>
        <v>0</v>
      </c>
      <c r="U12" s="9">
        <f t="shared" si="1"/>
        <v>0</v>
      </c>
      <c r="V12" s="9">
        <f t="shared" si="2"/>
        <v>0</v>
      </c>
      <c r="W12" s="15" t="str">
        <f t="shared" si="3"/>
        <v/>
      </c>
      <c r="X12" s="2" t="str">
        <f t="shared" si="4"/>
        <v>未計測</v>
      </c>
    </row>
    <row r="13" spans="1:24" x14ac:dyDescent="0.4">
      <c r="A13" s="2" t="s">
        <v>69</v>
      </c>
      <c r="B13" s="2" t="s">
        <v>16</v>
      </c>
      <c r="C13" s="2" t="s">
        <v>61</v>
      </c>
      <c r="D13" s="2" t="s">
        <v>62</v>
      </c>
      <c r="E13" s="2" t="s">
        <v>70</v>
      </c>
      <c r="F13" s="7">
        <v>46220</v>
      </c>
      <c r="G13" s="7">
        <v>46220</v>
      </c>
      <c r="H13" s="9">
        <v>1.5</v>
      </c>
      <c r="I13" s="7"/>
      <c r="J13" s="7"/>
      <c r="K13" s="9"/>
      <c r="L13" s="2" t="s">
        <v>20</v>
      </c>
      <c r="M13" s="2" t="s">
        <v>71</v>
      </c>
      <c r="N13" s="2" t="s">
        <v>22</v>
      </c>
      <c r="O13" s="2" t="s">
        <v>23</v>
      </c>
      <c r="P13" s="2" t="s">
        <v>65</v>
      </c>
      <c r="Q13" s="2" t="s">
        <v>72</v>
      </c>
      <c r="R13" s="2"/>
      <c r="S13" s="12">
        <f>IF(OR(F13="",G13=""),0,MAX(0,MIN(1,(サマリ!$B$9-F13+1)/(G13-F13+1))))</f>
        <v>0</v>
      </c>
      <c r="T13" s="12">
        <f t="shared" si="0"/>
        <v>0</v>
      </c>
      <c r="U13" s="9">
        <f t="shared" si="1"/>
        <v>0</v>
      </c>
      <c r="V13" s="9">
        <f t="shared" si="2"/>
        <v>0</v>
      </c>
      <c r="W13" s="15" t="str">
        <f t="shared" si="3"/>
        <v/>
      </c>
      <c r="X13" s="2" t="str">
        <f t="shared" si="4"/>
        <v>未計測</v>
      </c>
    </row>
    <row r="14" spans="1:24" x14ac:dyDescent="0.4">
      <c r="A14" s="2" t="s">
        <v>73</v>
      </c>
      <c r="B14" s="2" t="s">
        <v>16</v>
      </c>
      <c r="C14" s="2" t="s">
        <v>14</v>
      </c>
      <c r="D14" s="2" t="s">
        <v>74</v>
      </c>
      <c r="E14" s="2" t="s">
        <v>75</v>
      </c>
      <c r="F14" s="7">
        <v>46220</v>
      </c>
      <c r="G14" s="7">
        <v>46221</v>
      </c>
      <c r="H14" s="9">
        <v>1.5</v>
      </c>
      <c r="I14" s="7"/>
      <c r="J14" s="7"/>
      <c r="K14" s="9"/>
      <c r="L14" s="2" t="s">
        <v>20</v>
      </c>
      <c r="M14" s="2" t="s">
        <v>76</v>
      </c>
      <c r="N14" s="2" t="s">
        <v>22</v>
      </c>
      <c r="O14" s="2" t="s">
        <v>23</v>
      </c>
      <c r="P14" s="2" t="s">
        <v>56</v>
      </c>
      <c r="Q14" s="2" t="s">
        <v>77</v>
      </c>
      <c r="R14" s="2"/>
      <c r="S14" s="12">
        <f>IF(OR(F14="",G14=""),0,MAX(0,MIN(1,(サマリ!$B$9-F14+1)/(G14-F14+1))))</f>
        <v>0</v>
      </c>
      <c r="T14" s="12">
        <f t="shared" si="0"/>
        <v>0</v>
      </c>
      <c r="U14" s="9">
        <f t="shared" si="1"/>
        <v>0</v>
      </c>
      <c r="V14" s="9">
        <f t="shared" si="2"/>
        <v>0</v>
      </c>
      <c r="W14" s="15" t="str">
        <f t="shared" si="3"/>
        <v/>
      </c>
      <c r="X14" s="2" t="str">
        <f t="shared" si="4"/>
        <v>未計測</v>
      </c>
    </row>
    <row r="15" spans="1:24" x14ac:dyDescent="0.4">
      <c r="A15" s="2" t="s">
        <v>78</v>
      </c>
      <c r="B15" s="2" t="s">
        <v>16</v>
      </c>
      <c r="C15" s="2" t="s">
        <v>14</v>
      </c>
      <c r="D15" s="2" t="s">
        <v>74</v>
      </c>
      <c r="E15" s="2" t="s">
        <v>79</v>
      </c>
      <c r="F15" s="7">
        <v>46221</v>
      </c>
      <c r="G15" s="7">
        <v>46221</v>
      </c>
      <c r="H15" s="9">
        <v>1.5</v>
      </c>
      <c r="I15" s="7"/>
      <c r="J15" s="7"/>
      <c r="K15" s="9"/>
      <c r="L15" s="2" t="s">
        <v>20</v>
      </c>
      <c r="M15" s="2" t="s">
        <v>76</v>
      </c>
      <c r="N15" s="2" t="s">
        <v>22</v>
      </c>
      <c r="O15" s="2" t="s">
        <v>45</v>
      </c>
      <c r="P15" s="2" t="s">
        <v>73</v>
      </c>
      <c r="Q15" s="2" t="s">
        <v>80</v>
      </c>
      <c r="R15" s="2"/>
      <c r="S15" s="12">
        <f>IF(OR(F15="",G15=""),0,MAX(0,MIN(1,(サマリ!$B$9-F15+1)/(G15-F15+1))))</f>
        <v>0</v>
      </c>
      <c r="T15" s="12">
        <f t="shared" si="0"/>
        <v>0</v>
      </c>
      <c r="U15" s="9">
        <f t="shared" si="1"/>
        <v>0</v>
      </c>
      <c r="V15" s="9">
        <f t="shared" si="2"/>
        <v>0</v>
      </c>
      <c r="W15" s="15" t="str">
        <f t="shared" si="3"/>
        <v/>
      </c>
      <c r="X15" s="2" t="str">
        <f t="shared" si="4"/>
        <v>未計測</v>
      </c>
    </row>
    <row r="16" spans="1:24" x14ac:dyDescent="0.4">
      <c r="A16" s="2" t="s">
        <v>81</v>
      </c>
      <c r="B16" s="2" t="s">
        <v>16</v>
      </c>
      <c r="C16" s="2" t="s">
        <v>14</v>
      </c>
      <c r="D16" s="2" t="s">
        <v>74</v>
      </c>
      <c r="E16" s="2" t="s">
        <v>82</v>
      </c>
      <c r="F16" s="7">
        <v>46221</v>
      </c>
      <c r="G16" s="7">
        <v>46221</v>
      </c>
      <c r="H16" s="9">
        <v>1</v>
      </c>
      <c r="I16" s="7"/>
      <c r="J16" s="7"/>
      <c r="K16" s="9"/>
      <c r="L16" s="2" t="s">
        <v>20</v>
      </c>
      <c r="M16" s="2" t="s">
        <v>83</v>
      </c>
      <c r="N16" s="2" t="s">
        <v>22</v>
      </c>
      <c r="O16" s="2" t="s">
        <v>23</v>
      </c>
      <c r="P16" s="2" t="s">
        <v>73</v>
      </c>
      <c r="Q16" s="2" t="s">
        <v>84</v>
      </c>
      <c r="R16" s="2"/>
      <c r="S16" s="12">
        <f>IF(OR(F16="",G16=""),0,MAX(0,MIN(1,(サマリ!$B$9-F16+1)/(G16-F16+1))))</f>
        <v>0</v>
      </c>
      <c r="T16" s="12">
        <f t="shared" si="0"/>
        <v>0</v>
      </c>
      <c r="U16" s="9">
        <f t="shared" si="1"/>
        <v>0</v>
      </c>
      <c r="V16" s="9">
        <f t="shared" si="2"/>
        <v>0</v>
      </c>
      <c r="W16" s="15" t="str">
        <f t="shared" si="3"/>
        <v/>
      </c>
      <c r="X16" s="2" t="str">
        <f t="shared" si="4"/>
        <v>未計測</v>
      </c>
    </row>
    <row r="17" spans="1:24" x14ac:dyDescent="0.4">
      <c r="A17" s="2" t="s">
        <v>85</v>
      </c>
      <c r="B17" s="2" t="s">
        <v>16</v>
      </c>
      <c r="C17" s="2" t="s">
        <v>86</v>
      </c>
      <c r="D17" s="2" t="s">
        <v>87</v>
      </c>
      <c r="E17" s="2" t="s">
        <v>88</v>
      </c>
      <c r="F17" s="7">
        <v>46222</v>
      </c>
      <c r="G17" s="7">
        <v>46222</v>
      </c>
      <c r="H17" s="9">
        <v>1.5</v>
      </c>
      <c r="I17" s="7"/>
      <c r="J17" s="7"/>
      <c r="K17" s="9"/>
      <c r="L17" s="2" t="s">
        <v>20</v>
      </c>
      <c r="M17" s="2" t="s">
        <v>89</v>
      </c>
      <c r="N17" s="2" t="s">
        <v>22</v>
      </c>
      <c r="O17" s="2" t="s">
        <v>23</v>
      </c>
      <c r="P17" s="2" t="s">
        <v>81</v>
      </c>
      <c r="Q17" s="2" t="s">
        <v>90</v>
      </c>
      <c r="R17" s="2"/>
      <c r="S17" s="12">
        <f>IF(OR(F17="",G17=""),0,MAX(0,MIN(1,(サマリ!$B$9-F17+1)/(G17-F17+1))))</f>
        <v>0</v>
      </c>
      <c r="T17" s="12">
        <f t="shared" si="0"/>
        <v>0</v>
      </c>
      <c r="U17" s="9">
        <f t="shared" si="1"/>
        <v>0</v>
      </c>
      <c r="V17" s="9">
        <f t="shared" si="2"/>
        <v>0</v>
      </c>
      <c r="W17" s="15" t="str">
        <f t="shared" si="3"/>
        <v/>
      </c>
      <c r="X17" s="2" t="str">
        <f t="shared" si="4"/>
        <v>未計測</v>
      </c>
    </row>
    <row r="18" spans="1:24" x14ac:dyDescent="0.4">
      <c r="A18" s="2" t="s">
        <v>91</v>
      </c>
      <c r="B18" s="2" t="s">
        <v>16</v>
      </c>
      <c r="C18" s="2" t="s">
        <v>86</v>
      </c>
      <c r="D18" s="2" t="s">
        <v>87</v>
      </c>
      <c r="E18" s="2" t="s">
        <v>92</v>
      </c>
      <c r="F18" s="7">
        <v>46222</v>
      </c>
      <c r="G18" s="7">
        <v>46222</v>
      </c>
      <c r="H18" s="9">
        <v>1.5</v>
      </c>
      <c r="I18" s="7"/>
      <c r="J18" s="7"/>
      <c r="K18" s="9"/>
      <c r="L18" s="2" t="s">
        <v>20</v>
      </c>
      <c r="M18" s="2" t="s">
        <v>89</v>
      </c>
      <c r="N18" s="2" t="s">
        <v>22</v>
      </c>
      <c r="O18" s="2" t="s">
        <v>23</v>
      </c>
      <c r="P18" s="2" t="s">
        <v>85</v>
      </c>
      <c r="Q18" s="2" t="s">
        <v>87</v>
      </c>
      <c r="R18" s="2"/>
      <c r="S18" s="12">
        <f>IF(OR(F18="",G18=""),0,MAX(0,MIN(1,(サマリ!$B$9-F18+1)/(G18-F18+1))))</f>
        <v>0</v>
      </c>
      <c r="T18" s="12">
        <f t="shared" si="0"/>
        <v>0</v>
      </c>
      <c r="U18" s="9">
        <f t="shared" si="1"/>
        <v>0</v>
      </c>
      <c r="V18" s="9">
        <f t="shared" si="2"/>
        <v>0</v>
      </c>
      <c r="W18" s="15" t="str">
        <f t="shared" si="3"/>
        <v/>
      </c>
      <c r="X18" s="2" t="str">
        <f t="shared" si="4"/>
        <v>未計測</v>
      </c>
    </row>
    <row r="19" spans="1:24" x14ac:dyDescent="0.4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7">
        <v>46222</v>
      </c>
      <c r="G19" s="7">
        <v>46223</v>
      </c>
      <c r="H19" s="9">
        <v>1.5</v>
      </c>
      <c r="I19" s="7"/>
      <c r="J19" s="7"/>
      <c r="K19" s="9"/>
      <c r="L19" s="2" t="s">
        <v>20</v>
      </c>
      <c r="M19" s="2" t="s">
        <v>98</v>
      </c>
      <c r="N19" s="2" t="s">
        <v>22</v>
      </c>
      <c r="O19" s="2" t="s">
        <v>23</v>
      </c>
      <c r="P19" s="2" t="s">
        <v>91</v>
      </c>
      <c r="Q19" s="2" t="s">
        <v>99</v>
      </c>
      <c r="R19" s="2"/>
      <c r="S19" s="12">
        <f>IF(OR(F19="",G19=""),0,MAX(0,MIN(1,(サマリ!$B$9-F19+1)/(G19-F19+1))))</f>
        <v>0</v>
      </c>
      <c r="T19" s="12">
        <f t="shared" si="0"/>
        <v>0</v>
      </c>
      <c r="U19" s="9">
        <f t="shared" si="1"/>
        <v>0</v>
      </c>
      <c r="V19" s="9">
        <f t="shared" si="2"/>
        <v>0</v>
      </c>
      <c r="W19" s="15" t="str">
        <f t="shared" si="3"/>
        <v/>
      </c>
      <c r="X19" s="2" t="str">
        <f t="shared" si="4"/>
        <v>未計測</v>
      </c>
    </row>
    <row r="20" spans="1:24" x14ac:dyDescent="0.4">
      <c r="A20" s="2" t="s">
        <v>100</v>
      </c>
      <c r="B20" s="2" t="s">
        <v>94</v>
      </c>
      <c r="C20" s="2" t="s">
        <v>95</v>
      </c>
      <c r="D20" s="2" t="s">
        <v>96</v>
      </c>
      <c r="E20" s="2" t="s">
        <v>101</v>
      </c>
      <c r="F20" s="7">
        <v>46223</v>
      </c>
      <c r="G20" s="7">
        <v>46223</v>
      </c>
      <c r="H20" s="9">
        <v>1</v>
      </c>
      <c r="I20" s="7"/>
      <c r="J20" s="7"/>
      <c r="K20" s="9"/>
      <c r="L20" s="2" t="s">
        <v>20</v>
      </c>
      <c r="M20" s="2" t="s">
        <v>98</v>
      </c>
      <c r="N20" s="2" t="s">
        <v>22</v>
      </c>
      <c r="O20" s="2" t="s">
        <v>23</v>
      </c>
      <c r="P20" s="2" t="s">
        <v>93</v>
      </c>
      <c r="Q20" s="2" t="s">
        <v>102</v>
      </c>
      <c r="R20" s="2"/>
      <c r="S20" s="12">
        <f>IF(OR(F20="",G20=""),0,MAX(0,MIN(1,(サマリ!$B$9-F20+1)/(G20-F20+1))))</f>
        <v>0</v>
      </c>
      <c r="T20" s="12">
        <f t="shared" si="0"/>
        <v>0</v>
      </c>
      <c r="U20" s="9">
        <f t="shared" si="1"/>
        <v>0</v>
      </c>
      <c r="V20" s="9">
        <f t="shared" si="2"/>
        <v>0</v>
      </c>
      <c r="W20" s="15" t="str">
        <f t="shared" si="3"/>
        <v/>
      </c>
      <c r="X20" s="2" t="str">
        <f t="shared" si="4"/>
        <v>未計測</v>
      </c>
    </row>
    <row r="21" spans="1:24" x14ac:dyDescent="0.4">
      <c r="A21" s="2" t="s">
        <v>103</v>
      </c>
      <c r="B21" s="2" t="s">
        <v>94</v>
      </c>
      <c r="C21" s="2" t="s">
        <v>95</v>
      </c>
      <c r="D21" s="2" t="s">
        <v>96</v>
      </c>
      <c r="E21" s="2" t="s">
        <v>104</v>
      </c>
      <c r="F21" s="7">
        <v>46223</v>
      </c>
      <c r="G21" s="7">
        <v>46223</v>
      </c>
      <c r="H21" s="9">
        <v>1.5</v>
      </c>
      <c r="I21" s="7"/>
      <c r="J21" s="7"/>
      <c r="K21" s="9"/>
      <c r="L21" s="2" t="s">
        <v>20</v>
      </c>
      <c r="M21" s="2" t="s">
        <v>58</v>
      </c>
      <c r="N21" s="2" t="s">
        <v>22</v>
      </c>
      <c r="O21" s="2" t="s">
        <v>45</v>
      </c>
      <c r="P21" s="2" t="s">
        <v>100</v>
      </c>
      <c r="Q21" s="2" t="s">
        <v>105</v>
      </c>
      <c r="R21" s="2"/>
      <c r="S21" s="12">
        <f>IF(OR(F21="",G21=""),0,MAX(0,MIN(1,(サマリ!$B$9-F21+1)/(G21-F21+1))))</f>
        <v>0</v>
      </c>
      <c r="T21" s="12">
        <f t="shared" si="0"/>
        <v>0</v>
      </c>
      <c r="U21" s="9">
        <f t="shared" si="1"/>
        <v>0</v>
      </c>
      <c r="V21" s="9">
        <f t="shared" si="2"/>
        <v>0</v>
      </c>
      <c r="W21" s="15" t="str">
        <f t="shared" si="3"/>
        <v/>
      </c>
      <c r="X21" s="2" t="str">
        <f t="shared" si="4"/>
        <v>未計測</v>
      </c>
    </row>
    <row r="22" spans="1:24" x14ac:dyDescent="0.4">
      <c r="A22" s="2" t="s">
        <v>106</v>
      </c>
      <c r="B22" s="2" t="s">
        <v>94</v>
      </c>
      <c r="C22" s="2" t="s">
        <v>107</v>
      </c>
      <c r="D22" s="2" t="s">
        <v>108</v>
      </c>
      <c r="E22" s="2" t="s">
        <v>109</v>
      </c>
      <c r="F22" s="7">
        <v>46223</v>
      </c>
      <c r="G22" s="7">
        <v>46223</v>
      </c>
      <c r="H22" s="9">
        <v>1</v>
      </c>
      <c r="I22" s="7"/>
      <c r="J22" s="7"/>
      <c r="K22" s="9"/>
      <c r="L22" s="2" t="s">
        <v>20</v>
      </c>
      <c r="M22" s="2" t="s">
        <v>58</v>
      </c>
      <c r="N22" s="2" t="s">
        <v>22</v>
      </c>
      <c r="O22" s="2" t="s">
        <v>23</v>
      </c>
      <c r="P22" s="2" t="s">
        <v>100</v>
      </c>
      <c r="Q22" s="2" t="s">
        <v>110</v>
      </c>
      <c r="R22" s="2"/>
      <c r="S22" s="12">
        <f>IF(OR(F22="",G22=""),0,MAX(0,MIN(1,(サマリ!$B$9-F22+1)/(G22-F22+1))))</f>
        <v>0</v>
      </c>
      <c r="T22" s="12">
        <f t="shared" si="0"/>
        <v>0</v>
      </c>
      <c r="U22" s="9">
        <f t="shared" si="1"/>
        <v>0</v>
      </c>
      <c r="V22" s="9">
        <f t="shared" si="2"/>
        <v>0</v>
      </c>
      <c r="W22" s="15" t="str">
        <f t="shared" si="3"/>
        <v/>
      </c>
      <c r="X22" s="2" t="str">
        <f t="shared" si="4"/>
        <v>未計測</v>
      </c>
    </row>
    <row r="23" spans="1:24" x14ac:dyDescent="0.4">
      <c r="A23" s="2" t="s">
        <v>111</v>
      </c>
      <c r="B23" s="2" t="s">
        <v>94</v>
      </c>
      <c r="C23" s="2" t="s">
        <v>107</v>
      </c>
      <c r="D23" s="2" t="s">
        <v>108</v>
      </c>
      <c r="E23" s="2" t="s">
        <v>112</v>
      </c>
      <c r="F23" s="7">
        <v>46223</v>
      </c>
      <c r="G23" s="7">
        <v>46223</v>
      </c>
      <c r="H23" s="9">
        <v>1.5</v>
      </c>
      <c r="I23" s="7"/>
      <c r="J23" s="7"/>
      <c r="K23" s="9"/>
      <c r="L23" s="2" t="s">
        <v>20</v>
      </c>
      <c r="M23" s="2" t="s">
        <v>113</v>
      </c>
      <c r="N23" s="2" t="s">
        <v>22</v>
      </c>
      <c r="O23" s="2" t="s">
        <v>23</v>
      </c>
      <c r="P23" s="2" t="s">
        <v>106</v>
      </c>
      <c r="Q23" s="2" t="s">
        <v>114</v>
      </c>
      <c r="R23" s="2"/>
      <c r="S23" s="12">
        <f>IF(OR(F23="",G23=""),0,MAX(0,MIN(1,(サマリ!$B$9-F23+1)/(G23-F23+1))))</f>
        <v>0</v>
      </c>
      <c r="T23" s="12">
        <f t="shared" si="0"/>
        <v>0</v>
      </c>
      <c r="U23" s="9">
        <f t="shared" si="1"/>
        <v>0</v>
      </c>
      <c r="V23" s="9">
        <f t="shared" si="2"/>
        <v>0</v>
      </c>
      <c r="W23" s="15" t="str">
        <f t="shared" si="3"/>
        <v/>
      </c>
      <c r="X23" s="2" t="str">
        <f t="shared" si="4"/>
        <v>未計測</v>
      </c>
    </row>
    <row r="24" spans="1:24" x14ac:dyDescent="0.4">
      <c r="A24" s="2" t="s">
        <v>115</v>
      </c>
      <c r="B24" s="2" t="s">
        <v>94</v>
      </c>
      <c r="C24" s="2" t="s">
        <v>107</v>
      </c>
      <c r="D24" s="2" t="s">
        <v>108</v>
      </c>
      <c r="E24" s="2" t="s">
        <v>116</v>
      </c>
      <c r="F24" s="7">
        <v>46223</v>
      </c>
      <c r="G24" s="7">
        <v>46223</v>
      </c>
      <c r="H24" s="9">
        <v>1.5</v>
      </c>
      <c r="I24" s="7"/>
      <c r="J24" s="7"/>
      <c r="K24" s="9"/>
      <c r="L24" s="2" t="s">
        <v>20</v>
      </c>
      <c r="M24" s="2" t="s">
        <v>58</v>
      </c>
      <c r="N24" s="2" t="s">
        <v>22</v>
      </c>
      <c r="O24" s="2" t="s">
        <v>23</v>
      </c>
      <c r="P24" s="2" t="s">
        <v>111</v>
      </c>
      <c r="Q24" s="2" t="s">
        <v>117</v>
      </c>
      <c r="R24" s="2"/>
      <c r="S24" s="12">
        <f>IF(OR(F24="",G24=""),0,MAX(0,MIN(1,(サマリ!$B$9-F24+1)/(G24-F24+1))))</f>
        <v>0</v>
      </c>
      <c r="T24" s="12">
        <f t="shared" si="0"/>
        <v>0</v>
      </c>
      <c r="U24" s="9">
        <f t="shared" si="1"/>
        <v>0</v>
      </c>
      <c r="V24" s="9">
        <f t="shared" si="2"/>
        <v>0</v>
      </c>
      <c r="W24" s="15" t="str">
        <f t="shared" si="3"/>
        <v/>
      </c>
      <c r="X24" s="2" t="str">
        <f t="shared" si="4"/>
        <v>未計測</v>
      </c>
    </row>
    <row r="25" spans="1:24" x14ac:dyDescent="0.4">
      <c r="A25" s="2" t="s">
        <v>118</v>
      </c>
      <c r="B25" s="2" t="s">
        <v>94</v>
      </c>
      <c r="C25" s="2" t="s">
        <v>119</v>
      </c>
      <c r="D25" s="2" t="s">
        <v>120</v>
      </c>
      <c r="E25" s="2" t="s">
        <v>121</v>
      </c>
      <c r="F25" s="7">
        <v>46224</v>
      </c>
      <c r="G25" s="7">
        <v>46224</v>
      </c>
      <c r="H25" s="9">
        <v>1.5</v>
      </c>
      <c r="I25" s="7"/>
      <c r="J25" s="7"/>
      <c r="K25" s="9"/>
      <c r="L25" s="2" t="s">
        <v>20</v>
      </c>
      <c r="M25" s="2" t="s">
        <v>51</v>
      </c>
      <c r="N25" s="2" t="s">
        <v>22</v>
      </c>
      <c r="O25" s="2" t="s">
        <v>23</v>
      </c>
      <c r="P25" s="2" t="s">
        <v>69</v>
      </c>
      <c r="Q25" s="2" t="s">
        <v>122</v>
      </c>
      <c r="R25" s="2"/>
      <c r="S25" s="12">
        <f>IF(OR(F25="",G25=""),0,MAX(0,MIN(1,(サマリ!$B$9-F25+1)/(G25-F25+1))))</f>
        <v>0</v>
      </c>
      <c r="T25" s="12">
        <f t="shared" si="0"/>
        <v>0</v>
      </c>
      <c r="U25" s="9">
        <f t="shared" si="1"/>
        <v>0</v>
      </c>
      <c r="V25" s="9">
        <f t="shared" si="2"/>
        <v>0</v>
      </c>
      <c r="W25" s="15" t="str">
        <f t="shared" si="3"/>
        <v/>
      </c>
      <c r="X25" s="2" t="str">
        <f t="shared" si="4"/>
        <v>未計測</v>
      </c>
    </row>
    <row r="26" spans="1:24" x14ac:dyDescent="0.4">
      <c r="A26" s="2" t="s">
        <v>123</v>
      </c>
      <c r="B26" s="2" t="s">
        <v>94</v>
      </c>
      <c r="C26" s="2" t="s">
        <v>119</v>
      </c>
      <c r="D26" s="2" t="s">
        <v>120</v>
      </c>
      <c r="E26" s="2" t="s">
        <v>124</v>
      </c>
      <c r="F26" s="7">
        <v>46224</v>
      </c>
      <c r="G26" s="7">
        <v>46224</v>
      </c>
      <c r="H26" s="9">
        <v>1.5</v>
      </c>
      <c r="I26" s="7"/>
      <c r="J26" s="7"/>
      <c r="K26" s="9"/>
      <c r="L26" s="2" t="s">
        <v>20</v>
      </c>
      <c r="M26" s="2" t="s">
        <v>71</v>
      </c>
      <c r="N26" s="2" t="s">
        <v>22</v>
      </c>
      <c r="O26" s="2" t="s">
        <v>23</v>
      </c>
      <c r="P26" s="2" t="s">
        <v>118</v>
      </c>
      <c r="Q26" s="2" t="s">
        <v>125</v>
      </c>
      <c r="R26" s="2"/>
      <c r="S26" s="12">
        <f>IF(OR(F26="",G26=""),0,MAX(0,MIN(1,(サマリ!$B$9-F26+1)/(G26-F26+1))))</f>
        <v>0</v>
      </c>
      <c r="T26" s="12">
        <f t="shared" si="0"/>
        <v>0</v>
      </c>
      <c r="U26" s="9">
        <f t="shared" si="1"/>
        <v>0</v>
      </c>
      <c r="V26" s="9">
        <f t="shared" si="2"/>
        <v>0</v>
      </c>
      <c r="W26" s="15" t="str">
        <f t="shared" si="3"/>
        <v/>
      </c>
      <c r="X26" s="2" t="str">
        <f t="shared" si="4"/>
        <v>未計測</v>
      </c>
    </row>
    <row r="27" spans="1:24" x14ac:dyDescent="0.4">
      <c r="A27" s="2" t="s">
        <v>126</v>
      </c>
      <c r="B27" s="2" t="s">
        <v>94</v>
      </c>
      <c r="C27" s="2" t="s">
        <v>119</v>
      </c>
      <c r="D27" s="2" t="s">
        <v>120</v>
      </c>
      <c r="E27" s="2" t="s">
        <v>127</v>
      </c>
      <c r="F27" s="7">
        <v>46224</v>
      </c>
      <c r="G27" s="7">
        <v>46224</v>
      </c>
      <c r="H27" s="9">
        <v>1</v>
      </c>
      <c r="I27" s="7"/>
      <c r="J27" s="7"/>
      <c r="K27" s="9"/>
      <c r="L27" s="2" t="s">
        <v>20</v>
      </c>
      <c r="M27" s="2" t="s">
        <v>128</v>
      </c>
      <c r="N27" s="2" t="s">
        <v>22</v>
      </c>
      <c r="O27" s="2" t="s">
        <v>23</v>
      </c>
      <c r="P27" s="2" t="s">
        <v>123</v>
      </c>
      <c r="Q27" s="2" t="s">
        <v>129</v>
      </c>
      <c r="R27" s="2"/>
      <c r="S27" s="12">
        <f>IF(OR(F27="",G27=""),0,MAX(0,MIN(1,(サマリ!$B$9-F27+1)/(G27-F27+1))))</f>
        <v>0</v>
      </c>
      <c r="T27" s="12">
        <f t="shared" si="0"/>
        <v>0</v>
      </c>
      <c r="U27" s="9">
        <f t="shared" si="1"/>
        <v>0</v>
      </c>
      <c r="V27" s="9">
        <f t="shared" si="2"/>
        <v>0</v>
      </c>
      <c r="W27" s="15" t="str">
        <f t="shared" si="3"/>
        <v/>
      </c>
      <c r="X27" s="2" t="str">
        <f t="shared" si="4"/>
        <v>未計測</v>
      </c>
    </row>
    <row r="28" spans="1:24" x14ac:dyDescent="0.4">
      <c r="A28" s="2" t="s">
        <v>130</v>
      </c>
      <c r="B28" s="2" t="s">
        <v>94</v>
      </c>
      <c r="C28" s="2" t="s">
        <v>131</v>
      </c>
      <c r="D28" s="2" t="s">
        <v>132</v>
      </c>
      <c r="E28" s="2" t="s">
        <v>133</v>
      </c>
      <c r="F28" s="7">
        <v>46224</v>
      </c>
      <c r="G28" s="7">
        <v>46225</v>
      </c>
      <c r="H28" s="9">
        <v>1.5</v>
      </c>
      <c r="I28" s="7"/>
      <c r="J28" s="7"/>
      <c r="K28" s="9"/>
      <c r="L28" s="2" t="s">
        <v>20</v>
      </c>
      <c r="M28" s="2" t="s">
        <v>58</v>
      </c>
      <c r="N28" s="2" t="s">
        <v>22</v>
      </c>
      <c r="O28" s="2" t="s">
        <v>23</v>
      </c>
      <c r="P28" s="2" t="s">
        <v>56</v>
      </c>
      <c r="Q28" s="2" t="s">
        <v>134</v>
      </c>
      <c r="R28" s="2"/>
      <c r="S28" s="12">
        <f>IF(OR(F28="",G28=""),0,MAX(0,MIN(1,(サマリ!$B$9-F28+1)/(G28-F28+1))))</f>
        <v>0</v>
      </c>
      <c r="T28" s="12">
        <f t="shared" si="0"/>
        <v>0</v>
      </c>
      <c r="U28" s="9">
        <f t="shared" si="1"/>
        <v>0</v>
      </c>
      <c r="V28" s="9">
        <f t="shared" si="2"/>
        <v>0</v>
      </c>
      <c r="W28" s="15" t="str">
        <f t="shared" si="3"/>
        <v/>
      </c>
      <c r="X28" s="2" t="str">
        <f t="shared" si="4"/>
        <v>未計測</v>
      </c>
    </row>
    <row r="29" spans="1:24" x14ac:dyDescent="0.4">
      <c r="A29" s="2" t="s">
        <v>135</v>
      </c>
      <c r="B29" s="2" t="s">
        <v>94</v>
      </c>
      <c r="C29" s="2" t="s">
        <v>131</v>
      </c>
      <c r="D29" s="2" t="s">
        <v>132</v>
      </c>
      <c r="E29" s="2" t="s">
        <v>136</v>
      </c>
      <c r="F29" s="7">
        <v>46225</v>
      </c>
      <c r="G29" s="7">
        <v>46225</v>
      </c>
      <c r="H29" s="9">
        <v>1.5</v>
      </c>
      <c r="I29" s="7"/>
      <c r="J29" s="7"/>
      <c r="K29" s="9"/>
      <c r="L29" s="2" t="s">
        <v>20</v>
      </c>
      <c r="M29" s="2" t="s">
        <v>58</v>
      </c>
      <c r="N29" s="2" t="s">
        <v>22</v>
      </c>
      <c r="O29" s="2" t="s">
        <v>23</v>
      </c>
      <c r="P29" s="2" t="s">
        <v>130</v>
      </c>
      <c r="Q29" s="2" t="s">
        <v>137</v>
      </c>
      <c r="R29" s="2"/>
      <c r="S29" s="12">
        <f>IF(OR(F29="",G29=""),0,MAX(0,MIN(1,(サマリ!$B$9-F29+1)/(G29-F29+1))))</f>
        <v>0</v>
      </c>
      <c r="T29" s="12">
        <f t="shared" si="0"/>
        <v>0</v>
      </c>
      <c r="U29" s="9">
        <f t="shared" si="1"/>
        <v>0</v>
      </c>
      <c r="V29" s="9">
        <f t="shared" si="2"/>
        <v>0</v>
      </c>
      <c r="W29" s="15" t="str">
        <f t="shared" si="3"/>
        <v/>
      </c>
      <c r="X29" s="2" t="str">
        <f t="shared" si="4"/>
        <v>未計測</v>
      </c>
    </row>
    <row r="30" spans="1:24" x14ac:dyDescent="0.4">
      <c r="A30" s="2" t="s">
        <v>138</v>
      </c>
      <c r="B30" s="2" t="s">
        <v>94</v>
      </c>
      <c r="C30" s="2" t="s">
        <v>131</v>
      </c>
      <c r="D30" s="2" t="s">
        <v>132</v>
      </c>
      <c r="E30" s="2" t="s">
        <v>139</v>
      </c>
      <c r="F30" s="7">
        <v>46225</v>
      </c>
      <c r="G30" s="7">
        <v>46225</v>
      </c>
      <c r="H30" s="9">
        <v>1</v>
      </c>
      <c r="I30" s="7"/>
      <c r="J30" s="7"/>
      <c r="K30" s="9"/>
      <c r="L30" s="2" t="s">
        <v>20</v>
      </c>
      <c r="M30" s="2" t="s">
        <v>83</v>
      </c>
      <c r="N30" s="2" t="s">
        <v>22</v>
      </c>
      <c r="O30" s="2" t="s">
        <v>45</v>
      </c>
      <c r="P30" s="2" t="s">
        <v>135</v>
      </c>
      <c r="Q30" s="2" t="s">
        <v>140</v>
      </c>
      <c r="R30" s="2"/>
      <c r="S30" s="12">
        <f>IF(OR(F30="",G30=""),0,MAX(0,MIN(1,(サマリ!$B$9-F30+1)/(G30-F30+1))))</f>
        <v>0</v>
      </c>
      <c r="T30" s="12">
        <f t="shared" si="0"/>
        <v>0</v>
      </c>
      <c r="U30" s="9">
        <f t="shared" si="1"/>
        <v>0</v>
      </c>
      <c r="V30" s="9">
        <f t="shared" si="2"/>
        <v>0</v>
      </c>
      <c r="W30" s="15" t="str">
        <f t="shared" si="3"/>
        <v/>
      </c>
      <c r="X30" s="2" t="str">
        <f t="shared" si="4"/>
        <v>未計測</v>
      </c>
    </row>
    <row r="31" spans="1:24" x14ac:dyDescent="0.4">
      <c r="A31" s="2" t="s">
        <v>141</v>
      </c>
      <c r="B31" s="2" t="s">
        <v>94</v>
      </c>
      <c r="C31" s="2" t="s">
        <v>142</v>
      </c>
      <c r="D31" s="2" t="s">
        <v>143</v>
      </c>
      <c r="E31" s="2" t="s">
        <v>144</v>
      </c>
      <c r="F31" s="7">
        <v>46225</v>
      </c>
      <c r="G31" s="7">
        <v>46225</v>
      </c>
      <c r="H31" s="9">
        <v>1</v>
      </c>
      <c r="I31" s="7"/>
      <c r="J31" s="7"/>
      <c r="K31" s="9"/>
      <c r="L31" s="2" t="s">
        <v>20</v>
      </c>
      <c r="M31" s="2" t="s">
        <v>58</v>
      </c>
      <c r="N31" s="2" t="s">
        <v>22</v>
      </c>
      <c r="O31" s="2" t="s">
        <v>23</v>
      </c>
      <c r="P31" s="2" t="s">
        <v>130</v>
      </c>
      <c r="Q31" s="2" t="s">
        <v>145</v>
      </c>
      <c r="R31" s="2"/>
      <c r="S31" s="12">
        <f>IF(OR(F31="",G31=""),0,MAX(0,MIN(1,(サマリ!$B$9-F31+1)/(G31-F31+1))))</f>
        <v>0</v>
      </c>
      <c r="T31" s="12">
        <f t="shared" si="0"/>
        <v>0</v>
      </c>
      <c r="U31" s="9">
        <f t="shared" si="1"/>
        <v>0</v>
      </c>
      <c r="V31" s="9">
        <f t="shared" si="2"/>
        <v>0</v>
      </c>
      <c r="W31" s="15" t="str">
        <f t="shared" si="3"/>
        <v/>
      </c>
      <c r="X31" s="2" t="str">
        <f t="shared" si="4"/>
        <v>未計測</v>
      </c>
    </row>
    <row r="32" spans="1:24" x14ac:dyDescent="0.4">
      <c r="A32" s="2" t="s">
        <v>146</v>
      </c>
      <c r="B32" s="2" t="s">
        <v>94</v>
      </c>
      <c r="C32" s="2" t="s">
        <v>142</v>
      </c>
      <c r="D32" s="2" t="s">
        <v>143</v>
      </c>
      <c r="E32" s="2" t="s">
        <v>147</v>
      </c>
      <c r="F32" s="7">
        <v>46225</v>
      </c>
      <c r="G32" s="7">
        <v>46225</v>
      </c>
      <c r="H32" s="9">
        <v>1.5</v>
      </c>
      <c r="I32" s="7"/>
      <c r="J32" s="7"/>
      <c r="K32" s="9"/>
      <c r="L32" s="2" t="s">
        <v>20</v>
      </c>
      <c r="M32" s="2" t="s">
        <v>51</v>
      </c>
      <c r="N32" s="2" t="s">
        <v>22</v>
      </c>
      <c r="O32" s="2" t="s">
        <v>23</v>
      </c>
      <c r="P32" s="2" t="s">
        <v>141</v>
      </c>
      <c r="Q32" s="2" t="s">
        <v>148</v>
      </c>
      <c r="R32" s="2"/>
      <c r="S32" s="12">
        <f>IF(OR(F32="",G32=""),0,MAX(0,MIN(1,(サマリ!$B$9-F32+1)/(G32-F32+1))))</f>
        <v>0</v>
      </c>
      <c r="T32" s="12">
        <f t="shared" si="0"/>
        <v>0</v>
      </c>
      <c r="U32" s="9">
        <f t="shared" si="1"/>
        <v>0</v>
      </c>
      <c r="V32" s="9">
        <f t="shared" si="2"/>
        <v>0</v>
      </c>
      <c r="W32" s="15" t="str">
        <f t="shared" si="3"/>
        <v/>
      </c>
      <c r="X32" s="2" t="str">
        <f t="shared" si="4"/>
        <v>未計測</v>
      </c>
    </row>
    <row r="33" spans="1:24" x14ac:dyDescent="0.4">
      <c r="A33" s="2" t="s">
        <v>149</v>
      </c>
      <c r="B33" s="2" t="s">
        <v>94</v>
      </c>
      <c r="C33" s="2" t="s">
        <v>142</v>
      </c>
      <c r="D33" s="2" t="s">
        <v>143</v>
      </c>
      <c r="E33" s="2" t="s">
        <v>150</v>
      </c>
      <c r="F33" s="7">
        <v>46225</v>
      </c>
      <c r="G33" s="7">
        <v>46225</v>
      </c>
      <c r="H33" s="9">
        <v>1.5</v>
      </c>
      <c r="I33" s="7"/>
      <c r="J33" s="7"/>
      <c r="K33" s="9"/>
      <c r="L33" s="2" t="s">
        <v>20</v>
      </c>
      <c r="M33" s="2" t="s">
        <v>58</v>
      </c>
      <c r="N33" s="2" t="s">
        <v>22</v>
      </c>
      <c r="O33" s="2" t="s">
        <v>23</v>
      </c>
      <c r="P33" s="2" t="s">
        <v>146</v>
      </c>
      <c r="Q33" s="2" t="s">
        <v>151</v>
      </c>
      <c r="R33" s="2"/>
      <c r="S33" s="12">
        <f>IF(OR(F33="",G33=""),0,MAX(0,MIN(1,(サマリ!$B$9-F33+1)/(G33-F33+1))))</f>
        <v>0</v>
      </c>
      <c r="T33" s="12">
        <f t="shared" si="0"/>
        <v>0</v>
      </c>
      <c r="U33" s="9">
        <f t="shared" si="1"/>
        <v>0</v>
      </c>
      <c r="V33" s="9">
        <f t="shared" si="2"/>
        <v>0</v>
      </c>
      <c r="W33" s="15" t="str">
        <f t="shared" si="3"/>
        <v/>
      </c>
      <c r="X33" s="2" t="str">
        <f t="shared" si="4"/>
        <v>未計測</v>
      </c>
    </row>
    <row r="34" spans="1:24" x14ac:dyDescent="0.4">
      <c r="A34" s="2" t="s">
        <v>152</v>
      </c>
      <c r="B34" s="2" t="s">
        <v>94</v>
      </c>
      <c r="C34" s="2" t="s">
        <v>153</v>
      </c>
      <c r="D34" s="2" t="s">
        <v>154</v>
      </c>
      <c r="E34" s="2" t="s">
        <v>155</v>
      </c>
      <c r="F34" s="7">
        <v>46226</v>
      </c>
      <c r="G34" s="7">
        <v>46226</v>
      </c>
      <c r="H34" s="9">
        <v>1</v>
      </c>
      <c r="I34" s="7"/>
      <c r="J34" s="7"/>
      <c r="K34" s="9"/>
      <c r="L34" s="2" t="s">
        <v>20</v>
      </c>
      <c r="M34" s="2" t="s">
        <v>156</v>
      </c>
      <c r="N34" s="2" t="s">
        <v>22</v>
      </c>
      <c r="O34" s="2" t="s">
        <v>23</v>
      </c>
      <c r="P34" s="2" t="s">
        <v>115</v>
      </c>
      <c r="Q34" s="2" t="s">
        <v>157</v>
      </c>
      <c r="R34" s="2"/>
      <c r="S34" s="12">
        <f>IF(OR(F34="",G34=""),0,MAX(0,MIN(1,(サマリ!$B$9-F34+1)/(G34-F34+1))))</f>
        <v>0</v>
      </c>
      <c r="T34" s="12">
        <f t="shared" ref="T34:T65" si="5">IF(N34="完了",1,IF(N34="進行中",0.5,IF(N34="保留",0,0)))</f>
        <v>0</v>
      </c>
      <c r="U34" s="9">
        <f t="shared" ref="U34:U65" si="6">H34*S34</f>
        <v>0</v>
      </c>
      <c r="V34" s="9">
        <f t="shared" ref="V34:V65" si="7">H34*T34</f>
        <v>0</v>
      </c>
      <c r="W34" s="15" t="str">
        <f t="shared" ref="W34:W65" si="8">IF(U34=0,"",V34/U34)</f>
        <v/>
      </c>
      <c r="X34" s="2" t="str">
        <f t="shared" ref="X34:X65" si="9">IF(W34="","未計測",IF(W34&gt;=1,"予定通り/前倒し",IF(W34&gt;=0.9,"要注意","遅延")))</f>
        <v>未計測</v>
      </c>
    </row>
    <row r="35" spans="1:24" x14ac:dyDescent="0.4">
      <c r="A35" s="2" t="s">
        <v>158</v>
      </c>
      <c r="B35" s="2" t="s">
        <v>94</v>
      </c>
      <c r="C35" s="2" t="s">
        <v>153</v>
      </c>
      <c r="D35" s="2" t="s">
        <v>154</v>
      </c>
      <c r="E35" s="2" t="s">
        <v>159</v>
      </c>
      <c r="F35" s="7">
        <v>46226</v>
      </c>
      <c r="G35" s="7">
        <v>46226</v>
      </c>
      <c r="H35" s="9">
        <v>1</v>
      </c>
      <c r="I35" s="7"/>
      <c r="J35" s="7"/>
      <c r="K35" s="9"/>
      <c r="L35" s="2" t="s">
        <v>20</v>
      </c>
      <c r="M35" s="2" t="s">
        <v>160</v>
      </c>
      <c r="N35" s="2" t="s">
        <v>22</v>
      </c>
      <c r="O35" s="2" t="s">
        <v>45</v>
      </c>
      <c r="P35" s="2" t="s">
        <v>152</v>
      </c>
      <c r="Q35" s="2" t="s">
        <v>161</v>
      </c>
      <c r="R35" s="2"/>
      <c r="S35" s="12">
        <f>IF(OR(F35="",G35=""),0,MAX(0,MIN(1,(サマリ!$B$9-F35+1)/(G35-F35+1))))</f>
        <v>0</v>
      </c>
      <c r="T35" s="12">
        <f t="shared" si="5"/>
        <v>0</v>
      </c>
      <c r="U35" s="9">
        <f t="shared" si="6"/>
        <v>0</v>
      </c>
      <c r="V35" s="9">
        <f t="shared" si="7"/>
        <v>0</v>
      </c>
      <c r="W35" s="15" t="str">
        <f t="shared" si="8"/>
        <v/>
      </c>
      <c r="X35" s="2" t="str">
        <f t="shared" si="9"/>
        <v>未計測</v>
      </c>
    </row>
    <row r="36" spans="1:24" x14ac:dyDescent="0.4">
      <c r="A36" s="2" t="s">
        <v>162</v>
      </c>
      <c r="B36" s="2" t="s">
        <v>94</v>
      </c>
      <c r="C36" s="2" t="s">
        <v>163</v>
      </c>
      <c r="D36" s="2" t="s">
        <v>163</v>
      </c>
      <c r="E36" s="2" t="s">
        <v>164</v>
      </c>
      <c r="F36" s="7">
        <v>46226</v>
      </c>
      <c r="G36" s="7">
        <v>46226</v>
      </c>
      <c r="H36" s="9">
        <v>1</v>
      </c>
      <c r="I36" s="7"/>
      <c r="J36" s="7"/>
      <c r="K36" s="9"/>
      <c r="L36" s="2" t="s">
        <v>20</v>
      </c>
      <c r="M36" s="2" t="s">
        <v>21</v>
      </c>
      <c r="N36" s="2" t="s">
        <v>22</v>
      </c>
      <c r="O36" s="2" t="s">
        <v>23</v>
      </c>
      <c r="P36" s="2" t="s">
        <v>158</v>
      </c>
      <c r="Q36" s="2" t="s">
        <v>165</v>
      </c>
      <c r="R36" s="2"/>
      <c r="S36" s="12">
        <f>IF(OR(F36="",G36=""),0,MAX(0,MIN(1,(サマリ!$B$9-F36+1)/(G36-F36+1))))</f>
        <v>0</v>
      </c>
      <c r="T36" s="12">
        <f t="shared" si="5"/>
        <v>0</v>
      </c>
      <c r="U36" s="9">
        <f t="shared" si="6"/>
        <v>0</v>
      </c>
      <c r="V36" s="9">
        <f t="shared" si="7"/>
        <v>0</v>
      </c>
      <c r="W36" s="15" t="str">
        <f t="shared" si="8"/>
        <v/>
      </c>
      <c r="X36" s="2" t="str">
        <f t="shared" si="9"/>
        <v>未計測</v>
      </c>
    </row>
    <row r="37" spans="1:24" x14ac:dyDescent="0.4">
      <c r="A37" s="2" t="s">
        <v>166</v>
      </c>
      <c r="B37" s="2" t="s">
        <v>167</v>
      </c>
      <c r="C37" s="2" t="s">
        <v>107</v>
      </c>
      <c r="D37" s="2" t="s">
        <v>168</v>
      </c>
      <c r="E37" s="2" t="s">
        <v>169</v>
      </c>
      <c r="F37" s="7">
        <v>46226</v>
      </c>
      <c r="G37" s="7">
        <v>46227</v>
      </c>
      <c r="H37" s="9">
        <v>1.5</v>
      </c>
      <c r="I37" s="7"/>
      <c r="J37" s="7"/>
      <c r="K37" s="9"/>
      <c r="L37" s="2" t="s">
        <v>20</v>
      </c>
      <c r="M37" s="2" t="s">
        <v>58</v>
      </c>
      <c r="N37" s="2" t="s">
        <v>22</v>
      </c>
      <c r="O37" s="2" t="s">
        <v>23</v>
      </c>
      <c r="P37" s="2" t="s">
        <v>106</v>
      </c>
      <c r="Q37" s="2" t="s">
        <v>170</v>
      </c>
      <c r="R37" s="2"/>
      <c r="S37" s="12">
        <f>IF(OR(F37="",G37=""),0,MAX(0,MIN(1,(サマリ!$B$9-F37+1)/(G37-F37+1))))</f>
        <v>0</v>
      </c>
      <c r="T37" s="12">
        <f t="shared" si="5"/>
        <v>0</v>
      </c>
      <c r="U37" s="9">
        <f t="shared" si="6"/>
        <v>0</v>
      </c>
      <c r="V37" s="9">
        <f t="shared" si="7"/>
        <v>0</v>
      </c>
      <c r="W37" s="15" t="str">
        <f t="shared" si="8"/>
        <v/>
      </c>
      <c r="X37" s="2" t="str">
        <f t="shared" si="9"/>
        <v>未計測</v>
      </c>
    </row>
    <row r="38" spans="1:24" x14ac:dyDescent="0.4">
      <c r="A38" s="2" t="s">
        <v>171</v>
      </c>
      <c r="B38" s="2" t="s">
        <v>167</v>
      </c>
      <c r="C38" s="2" t="s">
        <v>107</v>
      </c>
      <c r="D38" s="2" t="s">
        <v>168</v>
      </c>
      <c r="E38" s="2" t="s">
        <v>172</v>
      </c>
      <c r="F38" s="7">
        <v>46227</v>
      </c>
      <c r="G38" s="7">
        <v>46227</v>
      </c>
      <c r="H38" s="9">
        <v>2</v>
      </c>
      <c r="I38" s="7"/>
      <c r="J38" s="7"/>
      <c r="K38" s="9"/>
      <c r="L38" s="2" t="s">
        <v>20</v>
      </c>
      <c r="M38" s="2" t="s">
        <v>58</v>
      </c>
      <c r="N38" s="2" t="s">
        <v>22</v>
      </c>
      <c r="O38" s="2" t="s">
        <v>23</v>
      </c>
      <c r="P38" s="2" t="s">
        <v>111</v>
      </c>
      <c r="Q38" s="2" t="s">
        <v>170</v>
      </c>
      <c r="R38" s="2"/>
      <c r="S38" s="12">
        <f>IF(OR(F38="",G38=""),0,MAX(0,MIN(1,(サマリ!$B$9-F38+1)/(G38-F38+1))))</f>
        <v>0</v>
      </c>
      <c r="T38" s="12">
        <f t="shared" si="5"/>
        <v>0</v>
      </c>
      <c r="U38" s="9">
        <f t="shared" si="6"/>
        <v>0</v>
      </c>
      <c r="V38" s="9">
        <f t="shared" si="7"/>
        <v>0</v>
      </c>
      <c r="W38" s="15" t="str">
        <f t="shared" si="8"/>
        <v/>
      </c>
      <c r="X38" s="2" t="str">
        <f t="shared" si="9"/>
        <v>未計測</v>
      </c>
    </row>
    <row r="39" spans="1:24" x14ac:dyDescent="0.4">
      <c r="A39" s="2" t="s">
        <v>173</v>
      </c>
      <c r="B39" s="2" t="s">
        <v>167</v>
      </c>
      <c r="C39" s="2" t="s">
        <v>107</v>
      </c>
      <c r="D39" s="2" t="s">
        <v>168</v>
      </c>
      <c r="E39" s="2" t="s">
        <v>174</v>
      </c>
      <c r="F39" s="7">
        <v>46227</v>
      </c>
      <c r="G39" s="7">
        <v>46227</v>
      </c>
      <c r="H39" s="9">
        <v>1.5</v>
      </c>
      <c r="I39" s="7"/>
      <c r="J39" s="7"/>
      <c r="K39" s="9"/>
      <c r="L39" s="2" t="s">
        <v>20</v>
      </c>
      <c r="M39" s="2" t="s">
        <v>156</v>
      </c>
      <c r="N39" s="2" t="s">
        <v>22</v>
      </c>
      <c r="O39" s="2" t="s">
        <v>45</v>
      </c>
      <c r="P39" s="2" t="s">
        <v>171</v>
      </c>
      <c r="Q39" s="2" t="s">
        <v>175</v>
      </c>
      <c r="R39" s="2"/>
      <c r="S39" s="12">
        <f>IF(OR(F39="",G39=""),0,MAX(0,MIN(1,(サマリ!$B$9-F39+1)/(G39-F39+1))))</f>
        <v>0</v>
      </c>
      <c r="T39" s="12">
        <f t="shared" si="5"/>
        <v>0</v>
      </c>
      <c r="U39" s="9">
        <f t="shared" si="6"/>
        <v>0</v>
      </c>
      <c r="V39" s="9">
        <f t="shared" si="7"/>
        <v>0</v>
      </c>
      <c r="W39" s="15" t="str">
        <f t="shared" si="8"/>
        <v/>
      </c>
      <c r="X39" s="2" t="str">
        <f t="shared" si="9"/>
        <v>未計測</v>
      </c>
    </row>
    <row r="40" spans="1:24" x14ac:dyDescent="0.4">
      <c r="A40" s="2" t="s">
        <v>176</v>
      </c>
      <c r="B40" s="2" t="s">
        <v>167</v>
      </c>
      <c r="C40" s="2" t="s">
        <v>177</v>
      </c>
      <c r="D40" s="2" t="s">
        <v>178</v>
      </c>
      <c r="E40" s="2" t="s">
        <v>179</v>
      </c>
      <c r="F40" s="7">
        <v>46227</v>
      </c>
      <c r="G40" s="7">
        <v>46227</v>
      </c>
      <c r="H40" s="9">
        <v>1.5</v>
      </c>
      <c r="I40" s="7"/>
      <c r="J40" s="7"/>
      <c r="K40" s="9"/>
      <c r="L40" s="2" t="s">
        <v>20</v>
      </c>
      <c r="M40" s="2" t="s">
        <v>58</v>
      </c>
      <c r="N40" s="2" t="s">
        <v>22</v>
      </c>
      <c r="O40" s="2" t="s">
        <v>23</v>
      </c>
      <c r="P40" s="2" t="s">
        <v>115</v>
      </c>
      <c r="Q40" s="2" t="s">
        <v>178</v>
      </c>
      <c r="R40" s="2"/>
      <c r="S40" s="12">
        <f>IF(OR(F40="",G40=""),0,MAX(0,MIN(1,(サマリ!$B$9-F40+1)/(G40-F40+1))))</f>
        <v>0</v>
      </c>
      <c r="T40" s="12">
        <f t="shared" si="5"/>
        <v>0</v>
      </c>
      <c r="U40" s="9">
        <f t="shared" si="6"/>
        <v>0</v>
      </c>
      <c r="V40" s="9">
        <f t="shared" si="7"/>
        <v>0</v>
      </c>
      <c r="W40" s="15" t="str">
        <f t="shared" si="8"/>
        <v/>
      </c>
      <c r="X40" s="2" t="str">
        <f t="shared" si="9"/>
        <v>未計測</v>
      </c>
    </row>
    <row r="41" spans="1:24" x14ac:dyDescent="0.4">
      <c r="A41" s="2" t="s">
        <v>180</v>
      </c>
      <c r="B41" s="2" t="s">
        <v>167</v>
      </c>
      <c r="C41" s="2" t="s">
        <v>177</v>
      </c>
      <c r="D41" s="2" t="s">
        <v>178</v>
      </c>
      <c r="E41" s="2" t="s">
        <v>181</v>
      </c>
      <c r="F41" s="7">
        <v>46227</v>
      </c>
      <c r="G41" s="7">
        <v>46227</v>
      </c>
      <c r="H41" s="9">
        <v>1.5</v>
      </c>
      <c r="I41" s="7"/>
      <c r="J41" s="7"/>
      <c r="K41" s="9"/>
      <c r="L41" s="2" t="s">
        <v>20</v>
      </c>
      <c r="M41" s="2" t="s">
        <v>58</v>
      </c>
      <c r="N41" s="2" t="s">
        <v>22</v>
      </c>
      <c r="O41" s="2" t="s">
        <v>23</v>
      </c>
      <c r="P41" s="2" t="s">
        <v>176</v>
      </c>
      <c r="Q41" s="2" t="s">
        <v>182</v>
      </c>
      <c r="R41" s="2"/>
      <c r="S41" s="12">
        <f>IF(OR(F41="",G41=""),0,MAX(0,MIN(1,(サマリ!$B$9-F41+1)/(G41-F41+1))))</f>
        <v>0</v>
      </c>
      <c r="T41" s="12">
        <f t="shared" si="5"/>
        <v>0</v>
      </c>
      <c r="U41" s="9">
        <f t="shared" si="6"/>
        <v>0</v>
      </c>
      <c r="V41" s="9">
        <f t="shared" si="7"/>
        <v>0</v>
      </c>
      <c r="W41" s="15" t="str">
        <f t="shared" si="8"/>
        <v/>
      </c>
      <c r="X41" s="2" t="str">
        <f t="shared" si="9"/>
        <v>未計測</v>
      </c>
    </row>
    <row r="42" spans="1:24" x14ac:dyDescent="0.4">
      <c r="A42" s="2" t="s">
        <v>183</v>
      </c>
      <c r="B42" s="2" t="s">
        <v>167</v>
      </c>
      <c r="C42" s="2" t="s">
        <v>177</v>
      </c>
      <c r="D42" s="2" t="s">
        <v>178</v>
      </c>
      <c r="E42" s="2" t="s">
        <v>184</v>
      </c>
      <c r="F42" s="7">
        <v>46227</v>
      </c>
      <c r="G42" s="7">
        <v>46227</v>
      </c>
      <c r="H42" s="9">
        <v>1</v>
      </c>
      <c r="I42" s="7"/>
      <c r="J42" s="7"/>
      <c r="K42" s="9"/>
      <c r="L42" s="2" t="s">
        <v>20</v>
      </c>
      <c r="M42" s="2" t="s">
        <v>58</v>
      </c>
      <c r="N42" s="2" t="s">
        <v>22</v>
      </c>
      <c r="O42" s="2" t="s">
        <v>45</v>
      </c>
      <c r="P42" s="2" t="s">
        <v>180</v>
      </c>
      <c r="Q42" s="2" t="s">
        <v>185</v>
      </c>
      <c r="R42" s="2"/>
      <c r="S42" s="12">
        <f>IF(OR(F42="",G42=""),0,MAX(0,MIN(1,(サマリ!$B$9-F42+1)/(G42-F42+1))))</f>
        <v>0</v>
      </c>
      <c r="T42" s="12">
        <f t="shared" si="5"/>
        <v>0</v>
      </c>
      <c r="U42" s="9">
        <f t="shared" si="6"/>
        <v>0</v>
      </c>
      <c r="V42" s="9">
        <f t="shared" si="7"/>
        <v>0</v>
      </c>
      <c r="W42" s="15" t="str">
        <f t="shared" si="8"/>
        <v/>
      </c>
      <c r="X42" s="2" t="str">
        <f t="shared" si="9"/>
        <v>未計測</v>
      </c>
    </row>
    <row r="43" spans="1:24" x14ac:dyDescent="0.4">
      <c r="A43" s="2" t="s">
        <v>186</v>
      </c>
      <c r="B43" s="2" t="s">
        <v>167</v>
      </c>
      <c r="C43" s="2" t="s">
        <v>187</v>
      </c>
      <c r="D43" s="2" t="s">
        <v>187</v>
      </c>
      <c r="E43" s="2" t="s">
        <v>188</v>
      </c>
      <c r="F43" s="7">
        <v>46228</v>
      </c>
      <c r="G43" s="7">
        <v>46228</v>
      </c>
      <c r="H43" s="9">
        <v>1.5</v>
      </c>
      <c r="I43" s="7"/>
      <c r="J43" s="7"/>
      <c r="K43" s="9"/>
      <c r="L43" s="2" t="s">
        <v>20</v>
      </c>
      <c r="M43" s="2" t="s">
        <v>51</v>
      </c>
      <c r="N43" s="2" t="s">
        <v>22</v>
      </c>
      <c r="O43" s="2" t="s">
        <v>23</v>
      </c>
      <c r="P43" s="2" t="s">
        <v>146</v>
      </c>
      <c r="Q43" s="2" t="s">
        <v>187</v>
      </c>
      <c r="R43" s="2"/>
      <c r="S43" s="12">
        <f>IF(OR(F43="",G43=""),0,MAX(0,MIN(1,(サマリ!$B$9-F43+1)/(G43-F43+1))))</f>
        <v>0</v>
      </c>
      <c r="T43" s="12">
        <f t="shared" si="5"/>
        <v>0</v>
      </c>
      <c r="U43" s="9">
        <f t="shared" si="6"/>
        <v>0</v>
      </c>
      <c r="V43" s="9">
        <f t="shared" si="7"/>
        <v>0</v>
      </c>
      <c r="W43" s="15" t="str">
        <f t="shared" si="8"/>
        <v/>
      </c>
      <c r="X43" s="2" t="str">
        <f t="shared" si="9"/>
        <v>未計測</v>
      </c>
    </row>
    <row r="44" spans="1:24" x14ac:dyDescent="0.4">
      <c r="A44" s="2" t="s">
        <v>189</v>
      </c>
      <c r="B44" s="2" t="s">
        <v>167</v>
      </c>
      <c r="C44" s="2" t="s">
        <v>187</v>
      </c>
      <c r="D44" s="2" t="s">
        <v>187</v>
      </c>
      <c r="E44" s="2" t="s">
        <v>190</v>
      </c>
      <c r="F44" s="7">
        <v>46228</v>
      </c>
      <c r="G44" s="7">
        <v>46228</v>
      </c>
      <c r="H44" s="9">
        <v>1</v>
      </c>
      <c r="I44" s="7"/>
      <c r="J44" s="7"/>
      <c r="K44" s="9"/>
      <c r="L44" s="2" t="s">
        <v>20</v>
      </c>
      <c r="M44" s="2" t="s">
        <v>51</v>
      </c>
      <c r="N44" s="2" t="s">
        <v>22</v>
      </c>
      <c r="O44" s="2" t="s">
        <v>23</v>
      </c>
      <c r="P44" s="2" t="s">
        <v>186</v>
      </c>
      <c r="Q44" s="2" t="s">
        <v>191</v>
      </c>
      <c r="R44" s="2"/>
      <c r="S44" s="12">
        <f>IF(OR(F44="",G44=""),0,MAX(0,MIN(1,(サマリ!$B$9-F44+1)/(G44-F44+1))))</f>
        <v>0</v>
      </c>
      <c r="T44" s="12">
        <f t="shared" si="5"/>
        <v>0</v>
      </c>
      <c r="U44" s="9">
        <f t="shared" si="6"/>
        <v>0</v>
      </c>
      <c r="V44" s="9">
        <f t="shared" si="7"/>
        <v>0</v>
      </c>
      <c r="W44" s="15" t="str">
        <f t="shared" si="8"/>
        <v/>
      </c>
      <c r="X44" s="2" t="str">
        <f t="shared" si="9"/>
        <v>未計測</v>
      </c>
    </row>
    <row r="45" spans="1:24" x14ac:dyDescent="0.4">
      <c r="A45" s="2" t="s">
        <v>192</v>
      </c>
      <c r="B45" s="2" t="s">
        <v>167</v>
      </c>
      <c r="C45" s="2" t="s">
        <v>187</v>
      </c>
      <c r="D45" s="2" t="s">
        <v>187</v>
      </c>
      <c r="E45" s="2" t="s">
        <v>193</v>
      </c>
      <c r="F45" s="7">
        <v>46228</v>
      </c>
      <c r="G45" s="7">
        <v>46228</v>
      </c>
      <c r="H45" s="9">
        <v>1.5</v>
      </c>
      <c r="I45" s="7"/>
      <c r="J45" s="7"/>
      <c r="K45" s="9"/>
      <c r="L45" s="2" t="s">
        <v>20</v>
      </c>
      <c r="M45" s="2" t="s">
        <v>58</v>
      </c>
      <c r="N45" s="2" t="s">
        <v>22</v>
      </c>
      <c r="O45" s="2" t="s">
        <v>45</v>
      </c>
      <c r="P45" s="2" t="s">
        <v>189</v>
      </c>
      <c r="Q45" s="2" t="s">
        <v>194</v>
      </c>
      <c r="R45" s="2"/>
      <c r="S45" s="12">
        <f>IF(OR(F45="",G45=""),0,MAX(0,MIN(1,(サマリ!$B$9-F45+1)/(G45-F45+1))))</f>
        <v>0</v>
      </c>
      <c r="T45" s="12">
        <f t="shared" si="5"/>
        <v>0</v>
      </c>
      <c r="U45" s="9">
        <f t="shared" si="6"/>
        <v>0</v>
      </c>
      <c r="V45" s="9">
        <f t="shared" si="7"/>
        <v>0</v>
      </c>
      <c r="W45" s="15" t="str">
        <f t="shared" si="8"/>
        <v/>
      </c>
      <c r="X45" s="2" t="str">
        <f t="shared" si="9"/>
        <v>未計測</v>
      </c>
    </row>
    <row r="46" spans="1:24" x14ac:dyDescent="0.4">
      <c r="A46" s="2" t="s">
        <v>195</v>
      </c>
      <c r="B46" s="2" t="s">
        <v>167</v>
      </c>
      <c r="C46" s="2" t="s">
        <v>196</v>
      </c>
      <c r="D46" s="2" t="s">
        <v>197</v>
      </c>
      <c r="E46" s="2" t="s">
        <v>198</v>
      </c>
      <c r="F46" s="7">
        <v>46228</v>
      </c>
      <c r="G46" s="7">
        <v>46229</v>
      </c>
      <c r="H46" s="9">
        <v>3</v>
      </c>
      <c r="I46" s="7"/>
      <c r="J46" s="7"/>
      <c r="K46" s="9"/>
      <c r="L46" s="2" t="s">
        <v>20</v>
      </c>
      <c r="M46" s="2" t="s">
        <v>58</v>
      </c>
      <c r="N46" s="2" t="s">
        <v>22</v>
      </c>
      <c r="O46" s="2" t="s">
        <v>23</v>
      </c>
      <c r="P46" s="2" t="s">
        <v>118</v>
      </c>
      <c r="Q46" s="2" t="s">
        <v>199</v>
      </c>
      <c r="R46" s="2"/>
      <c r="S46" s="12">
        <f>IF(OR(F46="",G46=""),0,MAX(0,MIN(1,(サマリ!$B$9-F46+1)/(G46-F46+1))))</f>
        <v>0</v>
      </c>
      <c r="T46" s="12">
        <f t="shared" si="5"/>
        <v>0</v>
      </c>
      <c r="U46" s="9">
        <f t="shared" si="6"/>
        <v>0</v>
      </c>
      <c r="V46" s="9">
        <f t="shared" si="7"/>
        <v>0</v>
      </c>
      <c r="W46" s="15" t="str">
        <f t="shared" si="8"/>
        <v/>
      </c>
      <c r="X46" s="2" t="str">
        <f t="shared" si="9"/>
        <v>未計測</v>
      </c>
    </row>
    <row r="47" spans="1:24" x14ac:dyDescent="0.4">
      <c r="A47" s="2" t="s">
        <v>200</v>
      </c>
      <c r="B47" s="2" t="s">
        <v>167</v>
      </c>
      <c r="C47" s="2" t="s">
        <v>196</v>
      </c>
      <c r="D47" s="2" t="s">
        <v>197</v>
      </c>
      <c r="E47" s="2" t="s">
        <v>201</v>
      </c>
      <c r="F47" s="7">
        <v>46229</v>
      </c>
      <c r="G47" s="7">
        <v>46229</v>
      </c>
      <c r="H47" s="9">
        <v>3</v>
      </c>
      <c r="I47" s="7"/>
      <c r="J47" s="7"/>
      <c r="K47" s="9"/>
      <c r="L47" s="2" t="s">
        <v>20</v>
      </c>
      <c r="M47" s="2" t="s">
        <v>58</v>
      </c>
      <c r="N47" s="2" t="s">
        <v>22</v>
      </c>
      <c r="O47" s="2" t="s">
        <v>23</v>
      </c>
      <c r="P47" s="2" t="s">
        <v>195</v>
      </c>
      <c r="Q47" s="2" t="s">
        <v>199</v>
      </c>
      <c r="R47" s="2"/>
      <c r="S47" s="12">
        <f>IF(OR(F47="",G47=""),0,MAX(0,MIN(1,(サマリ!$B$9-F47+1)/(G47-F47+1))))</f>
        <v>0</v>
      </c>
      <c r="T47" s="12">
        <f t="shared" si="5"/>
        <v>0</v>
      </c>
      <c r="U47" s="9">
        <f t="shared" si="6"/>
        <v>0</v>
      </c>
      <c r="V47" s="9">
        <f t="shared" si="7"/>
        <v>0</v>
      </c>
      <c r="W47" s="15" t="str">
        <f t="shared" si="8"/>
        <v/>
      </c>
      <c r="X47" s="2" t="str">
        <f t="shared" si="9"/>
        <v>未計測</v>
      </c>
    </row>
    <row r="48" spans="1:24" x14ac:dyDescent="0.4">
      <c r="A48" s="2" t="s">
        <v>202</v>
      </c>
      <c r="B48" s="2" t="s">
        <v>167</v>
      </c>
      <c r="C48" s="2" t="s">
        <v>196</v>
      </c>
      <c r="D48" s="2" t="s">
        <v>197</v>
      </c>
      <c r="E48" s="2" t="s">
        <v>203</v>
      </c>
      <c r="F48" s="7">
        <v>46229</v>
      </c>
      <c r="G48" s="7">
        <v>46229</v>
      </c>
      <c r="H48" s="9">
        <v>2</v>
      </c>
      <c r="I48" s="7"/>
      <c r="J48" s="7"/>
      <c r="K48" s="9"/>
      <c r="L48" s="2" t="s">
        <v>20</v>
      </c>
      <c r="M48" s="2" t="s">
        <v>113</v>
      </c>
      <c r="N48" s="2" t="s">
        <v>22</v>
      </c>
      <c r="O48" s="2" t="s">
        <v>23</v>
      </c>
      <c r="P48" s="2" t="s">
        <v>200</v>
      </c>
      <c r="Q48" s="2" t="s">
        <v>199</v>
      </c>
      <c r="R48" s="2"/>
      <c r="S48" s="12">
        <f>IF(OR(F48="",G48=""),0,MAX(0,MIN(1,(サマリ!$B$9-F48+1)/(G48-F48+1))))</f>
        <v>0</v>
      </c>
      <c r="T48" s="12">
        <f t="shared" si="5"/>
        <v>0</v>
      </c>
      <c r="U48" s="9">
        <f t="shared" si="6"/>
        <v>0</v>
      </c>
      <c r="V48" s="9">
        <f t="shared" si="7"/>
        <v>0</v>
      </c>
      <c r="W48" s="15" t="str">
        <f t="shared" si="8"/>
        <v/>
      </c>
      <c r="X48" s="2" t="str">
        <f t="shared" si="9"/>
        <v>未計測</v>
      </c>
    </row>
    <row r="49" spans="1:24" x14ac:dyDescent="0.4">
      <c r="A49" s="2" t="s">
        <v>204</v>
      </c>
      <c r="B49" s="2" t="s">
        <v>167</v>
      </c>
      <c r="C49" s="2" t="s">
        <v>131</v>
      </c>
      <c r="D49" s="2" t="s">
        <v>197</v>
      </c>
      <c r="E49" s="2" t="s">
        <v>205</v>
      </c>
      <c r="F49" s="7">
        <v>46229</v>
      </c>
      <c r="G49" s="7">
        <v>46230</v>
      </c>
      <c r="H49" s="9">
        <v>3</v>
      </c>
      <c r="I49" s="7"/>
      <c r="J49" s="7"/>
      <c r="K49" s="9"/>
      <c r="L49" s="2" t="s">
        <v>20</v>
      </c>
      <c r="M49" s="2" t="s">
        <v>58</v>
      </c>
      <c r="N49" s="2" t="s">
        <v>22</v>
      </c>
      <c r="O49" s="2" t="s">
        <v>23</v>
      </c>
      <c r="P49" s="2" t="s">
        <v>130</v>
      </c>
      <c r="Q49" s="2" t="s">
        <v>199</v>
      </c>
      <c r="R49" s="2"/>
      <c r="S49" s="12">
        <f>IF(OR(F49="",G49=""),0,MAX(0,MIN(1,(サマリ!$B$9-F49+1)/(G49-F49+1))))</f>
        <v>0</v>
      </c>
      <c r="T49" s="12">
        <f t="shared" si="5"/>
        <v>0</v>
      </c>
      <c r="U49" s="9">
        <f t="shared" si="6"/>
        <v>0</v>
      </c>
      <c r="V49" s="9">
        <f t="shared" si="7"/>
        <v>0</v>
      </c>
      <c r="W49" s="15" t="str">
        <f t="shared" si="8"/>
        <v/>
      </c>
      <c r="X49" s="2" t="str">
        <f t="shared" si="9"/>
        <v>未計測</v>
      </c>
    </row>
    <row r="50" spans="1:24" x14ac:dyDescent="0.4">
      <c r="A50" s="2" t="s">
        <v>206</v>
      </c>
      <c r="B50" s="2" t="s">
        <v>167</v>
      </c>
      <c r="C50" s="2" t="s">
        <v>131</v>
      </c>
      <c r="D50" s="2" t="s">
        <v>197</v>
      </c>
      <c r="E50" s="2" t="s">
        <v>207</v>
      </c>
      <c r="F50" s="7">
        <v>46230</v>
      </c>
      <c r="G50" s="7">
        <v>46230</v>
      </c>
      <c r="H50" s="9">
        <v>2</v>
      </c>
      <c r="I50" s="7"/>
      <c r="J50" s="7"/>
      <c r="K50" s="9"/>
      <c r="L50" s="2" t="s">
        <v>20</v>
      </c>
      <c r="M50" s="2" t="s">
        <v>58</v>
      </c>
      <c r="N50" s="2" t="s">
        <v>22</v>
      </c>
      <c r="O50" s="2" t="s">
        <v>23</v>
      </c>
      <c r="P50" s="2" t="s">
        <v>135</v>
      </c>
      <c r="Q50" s="2" t="s">
        <v>199</v>
      </c>
      <c r="R50" s="2"/>
      <c r="S50" s="12">
        <f>IF(OR(F50="",G50=""),0,MAX(0,MIN(1,(サマリ!$B$9-F50+1)/(G50-F50+1))))</f>
        <v>0</v>
      </c>
      <c r="T50" s="12">
        <f t="shared" si="5"/>
        <v>0</v>
      </c>
      <c r="U50" s="9">
        <f t="shared" si="6"/>
        <v>0</v>
      </c>
      <c r="V50" s="9">
        <f t="shared" si="7"/>
        <v>0</v>
      </c>
      <c r="W50" s="15" t="str">
        <f t="shared" si="8"/>
        <v/>
      </c>
      <c r="X50" s="2" t="str">
        <f t="shared" si="9"/>
        <v>未計測</v>
      </c>
    </row>
    <row r="51" spans="1:24" x14ac:dyDescent="0.4">
      <c r="A51" s="2" t="s">
        <v>208</v>
      </c>
      <c r="B51" s="2" t="s">
        <v>167</v>
      </c>
      <c r="C51" s="2" t="s">
        <v>131</v>
      </c>
      <c r="D51" s="2" t="s">
        <v>197</v>
      </c>
      <c r="E51" s="2" t="s">
        <v>209</v>
      </c>
      <c r="F51" s="7">
        <v>46230</v>
      </c>
      <c r="G51" s="7">
        <v>46230</v>
      </c>
      <c r="H51" s="9">
        <v>2</v>
      </c>
      <c r="I51" s="7"/>
      <c r="J51" s="7"/>
      <c r="K51" s="9"/>
      <c r="L51" s="2" t="s">
        <v>20</v>
      </c>
      <c r="M51" s="2" t="s">
        <v>58</v>
      </c>
      <c r="N51" s="2" t="s">
        <v>22</v>
      </c>
      <c r="O51" s="2" t="s">
        <v>23</v>
      </c>
      <c r="P51" s="2" t="s">
        <v>204</v>
      </c>
      <c r="Q51" s="2" t="s">
        <v>199</v>
      </c>
      <c r="R51" s="2"/>
      <c r="S51" s="12">
        <f>IF(OR(F51="",G51=""),0,MAX(0,MIN(1,(サマリ!$B$9-F51+1)/(G51-F51+1))))</f>
        <v>0</v>
      </c>
      <c r="T51" s="12">
        <f t="shared" si="5"/>
        <v>0</v>
      </c>
      <c r="U51" s="9">
        <f t="shared" si="6"/>
        <v>0</v>
      </c>
      <c r="V51" s="9">
        <f t="shared" si="7"/>
        <v>0</v>
      </c>
      <c r="W51" s="15" t="str">
        <f t="shared" si="8"/>
        <v/>
      </c>
      <c r="X51" s="2" t="str">
        <f t="shared" si="9"/>
        <v>未計測</v>
      </c>
    </row>
    <row r="52" spans="1:24" x14ac:dyDescent="0.4">
      <c r="A52" s="2" t="s">
        <v>210</v>
      </c>
      <c r="B52" s="2" t="s">
        <v>167</v>
      </c>
      <c r="C52" s="2" t="s">
        <v>131</v>
      </c>
      <c r="D52" s="2" t="s">
        <v>197</v>
      </c>
      <c r="E52" s="2" t="s">
        <v>211</v>
      </c>
      <c r="F52" s="7">
        <v>46230</v>
      </c>
      <c r="G52" s="7">
        <v>46230</v>
      </c>
      <c r="H52" s="9">
        <v>1</v>
      </c>
      <c r="I52" s="7"/>
      <c r="J52" s="7"/>
      <c r="K52" s="9"/>
      <c r="L52" s="2" t="s">
        <v>20</v>
      </c>
      <c r="M52" s="2" t="s">
        <v>156</v>
      </c>
      <c r="N52" s="2" t="s">
        <v>22</v>
      </c>
      <c r="O52" s="2" t="s">
        <v>45</v>
      </c>
      <c r="P52" s="2" t="s">
        <v>208</v>
      </c>
      <c r="Q52" s="2" t="s">
        <v>212</v>
      </c>
      <c r="R52" s="2"/>
      <c r="S52" s="12">
        <f>IF(OR(F52="",G52=""),0,MAX(0,MIN(1,(サマリ!$B$9-F52+1)/(G52-F52+1))))</f>
        <v>0</v>
      </c>
      <c r="T52" s="12">
        <f t="shared" si="5"/>
        <v>0</v>
      </c>
      <c r="U52" s="9">
        <f t="shared" si="6"/>
        <v>0</v>
      </c>
      <c r="V52" s="9">
        <f t="shared" si="7"/>
        <v>0</v>
      </c>
      <c r="W52" s="15" t="str">
        <f t="shared" si="8"/>
        <v/>
      </c>
      <c r="X52" s="2" t="str">
        <f t="shared" si="9"/>
        <v>未計測</v>
      </c>
    </row>
    <row r="53" spans="1:24" x14ac:dyDescent="0.4">
      <c r="A53" s="2" t="s">
        <v>213</v>
      </c>
      <c r="B53" s="2" t="s">
        <v>167</v>
      </c>
      <c r="C53" s="2" t="s">
        <v>214</v>
      </c>
      <c r="D53" s="2" t="s">
        <v>215</v>
      </c>
      <c r="E53" s="2" t="s">
        <v>216</v>
      </c>
      <c r="F53" s="7">
        <v>46230</v>
      </c>
      <c r="G53" s="7">
        <v>46230</v>
      </c>
      <c r="H53" s="9">
        <v>1.5</v>
      </c>
      <c r="I53" s="7"/>
      <c r="J53" s="7"/>
      <c r="K53" s="9"/>
      <c r="L53" s="2" t="s">
        <v>20</v>
      </c>
      <c r="M53" s="2" t="s">
        <v>156</v>
      </c>
      <c r="N53" s="2" t="s">
        <v>22</v>
      </c>
      <c r="O53" s="2" t="s">
        <v>23</v>
      </c>
      <c r="P53" s="2" t="s">
        <v>208</v>
      </c>
      <c r="Q53" s="2" t="s">
        <v>217</v>
      </c>
      <c r="R53" s="2"/>
      <c r="S53" s="12">
        <f>IF(OR(F53="",G53=""),0,MAX(0,MIN(1,(サマリ!$B$9-F53+1)/(G53-F53+1))))</f>
        <v>0</v>
      </c>
      <c r="T53" s="12">
        <f t="shared" si="5"/>
        <v>0</v>
      </c>
      <c r="U53" s="9">
        <f t="shared" si="6"/>
        <v>0</v>
      </c>
      <c r="V53" s="9">
        <f t="shared" si="7"/>
        <v>0</v>
      </c>
      <c r="W53" s="15" t="str">
        <f t="shared" si="8"/>
        <v/>
      </c>
      <c r="X53" s="2" t="str">
        <f t="shared" si="9"/>
        <v>未計測</v>
      </c>
    </row>
    <row r="54" spans="1:24" x14ac:dyDescent="0.4">
      <c r="A54" s="2" t="s">
        <v>218</v>
      </c>
      <c r="B54" s="2" t="s">
        <v>167</v>
      </c>
      <c r="C54" s="2" t="s">
        <v>214</v>
      </c>
      <c r="D54" s="2" t="s">
        <v>215</v>
      </c>
      <c r="E54" s="2" t="s">
        <v>219</v>
      </c>
      <c r="F54" s="7">
        <v>46230</v>
      </c>
      <c r="G54" s="7">
        <v>46230</v>
      </c>
      <c r="H54" s="9">
        <v>1.5</v>
      </c>
      <c r="I54" s="7"/>
      <c r="J54" s="7"/>
      <c r="K54" s="9"/>
      <c r="L54" s="2" t="s">
        <v>20</v>
      </c>
      <c r="M54" s="2" t="s">
        <v>40</v>
      </c>
      <c r="N54" s="2" t="s">
        <v>22</v>
      </c>
      <c r="O54" s="2" t="s">
        <v>45</v>
      </c>
      <c r="P54" s="2" t="s">
        <v>213</v>
      </c>
      <c r="Q54" s="2" t="s">
        <v>220</v>
      </c>
      <c r="R54" s="2"/>
      <c r="S54" s="12">
        <f>IF(OR(F54="",G54=""),0,MAX(0,MIN(1,(サマリ!$B$9-F54+1)/(G54-F54+1))))</f>
        <v>0</v>
      </c>
      <c r="T54" s="12">
        <f t="shared" si="5"/>
        <v>0</v>
      </c>
      <c r="U54" s="9">
        <f t="shared" si="6"/>
        <v>0</v>
      </c>
      <c r="V54" s="9">
        <f t="shared" si="7"/>
        <v>0</v>
      </c>
      <c r="W54" s="15" t="str">
        <f t="shared" si="8"/>
        <v/>
      </c>
      <c r="X54" s="2" t="str">
        <f t="shared" si="9"/>
        <v>未計測</v>
      </c>
    </row>
    <row r="55" spans="1:24" x14ac:dyDescent="0.4">
      <c r="A55" s="2" t="s">
        <v>221</v>
      </c>
      <c r="B55" s="2" t="s">
        <v>167</v>
      </c>
      <c r="C55" s="2" t="s">
        <v>214</v>
      </c>
      <c r="D55" s="2" t="s">
        <v>215</v>
      </c>
      <c r="E55" s="2" t="s">
        <v>222</v>
      </c>
      <c r="F55" s="7">
        <v>46230</v>
      </c>
      <c r="G55" s="7">
        <v>46230</v>
      </c>
      <c r="H55" s="9">
        <v>1</v>
      </c>
      <c r="I55" s="7"/>
      <c r="J55" s="7"/>
      <c r="K55" s="9"/>
      <c r="L55" s="2" t="s">
        <v>20</v>
      </c>
      <c r="M55" s="2" t="s">
        <v>156</v>
      </c>
      <c r="N55" s="2" t="s">
        <v>22</v>
      </c>
      <c r="O55" s="2" t="s">
        <v>45</v>
      </c>
      <c r="P55" s="2" t="s">
        <v>218</v>
      </c>
      <c r="Q55" s="2" t="s">
        <v>223</v>
      </c>
      <c r="R55" s="2"/>
      <c r="S55" s="12">
        <f>IF(OR(F55="",G55=""),0,MAX(0,MIN(1,(サマリ!$B$9-F55+1)/(G55-F55+1))))</f>
        <v>0</v>
      </c>
      <c r="T55" s="12">
        <f t="shared" si="5"/>
        <v>0</v>
      </c>
      <c r="U55" s="9">
        <f t="shared" si="6"/>
        <v>0</v>
      </c>
      <c r="V55" s="9">
        <f t="shared" si="7"/>
        <v>0</v>
      </c>
      <c r="W55" s="15" t="str">
        <f t="shared" si="8"/>
        <v/>
      </c>
      <c r="X55" s="2" t="str">
        <f t="shared" si="9"/>
        <v>未計測</v>
      </c>
    </row>
    <row r="56" spans="1:24" x14ac:dyDescent="0.4">
      <c r="A56" s="2" t="s">
        <v>224</v>
      </c>
      <c r="B56" s="2" t="s">
        <v>167</v>
      </c>
      <c r="C56" s="2" t="s">
        <v>142</v>
      </c>
      <c r="D56" s="2" t="s">
        <v>225</v>
      </c>
      <c r="E56" s="2" t="s">
        <v>226</v>
      </c>
      <c r="F56" s="7">
        <v>46231</v>
      </c>
      <c r="G56" s="7">
        <v>46231</v>
      </c>
      <c r="H56" s="9">
        <v>2</v>
      </c>
      <c r="I56" s="7"/>
      <c r="J56" s="7"/>
      <c r="K56" s="9"/>
      <c r="L56" s="2" t="s">
        <v>20</v>
      </c>
      <c r="M56" s="2" t="s">
        <v>58</v>
      </c>
      <c r="N56" s="2" t="s">
        <v>22</v>
      </c>
      <c r="O56" s="2" t="s">
        <v>23</v>
      </c>
      <c r="P56" s="2" t="s">
        <v>141</v>
      </c>
      <c r="Q56" s="2" t="s">
        <v>225</v>
      </c>
      <c r="R56" s="2"/>
      <c r="S56" s="12">
        <f>IF(OR(F56="",G56=""),0,MAX(0,MIN(1,(サマリ!$B$9-F56+1)/(G56-F56+1))))</f>
        <v>0</v>
      </c>
      <c r="T56" s="12">
        <f t="shared" si="5"/>
        <v>0</v>
      </c>
      <c r="U56" s="9">
        <f t="shared" si="6"/>
        <v>0</v>
      </c>
      <c r="V56" s="9">
        <f t="shared" si="7"/>
        <v>0</v>
      </c>
      <c r="W56" s="15" t="str">
        <f t="shared" si="8"/>
        <v/>
      </c>
      <c r="X56" s="2" t="str">
        <f t="shared" si="9"/>
        <v>未計測</v>
      </c>
    </row>
    <row r="57" spans="1:24" x14ac:dyDescent="0.4">
      <c r="A57" s="2" t="s">
        <v>227</v>
      </c>
      <c r="B57" s="2" t="s">
        <v>167</v>
      </c>
      <c r="C57" s="2" t="s">
        <v>142</v>
      </c>
      <c r="D57" s="2" t="s">
        <v>225</v>
      </c>
      <c r="E57" s="2" t="s">
        <v>228</v>
      </c>
      <c r="F57" s="7">
        <v>46231</v>
      </c>
      <c r="G57" s="7">
        <v>46232</v>
      </c>
      <c r="H57" s="9">
        <v>2</v>
      </c>
      <c r="I57" s="7"/>
      <c r="J57" s="7"/>
      <c r="K57" s="9"/>
      <c r="L57" s="2" t="s">
        <v>20</v>
      </c>
      <c r="M57" s="2" t="s">
        <v>58</v>
      </c>
      <c r="N57" s="2" t="s">
        <v>22</v>
      </c>
      <c r="O57" s="2" t="s">
        <v>23</v>
      </c>
      <c r="P57" s="2" t="s">
        <v>146</v>
      </c>
      <c r="Q57" s="2" t="s">
        <v>229</v>
      </c>
      <c r="R57" s="2"/>
      <c r="S57" s="12">
        <f>IF(OR(F57="",G57=""),0,MAX(0,MIN(1,(サマリ!$B$9-F57+1)/(G57-F57+1))))</f>
        <v>0</v>
      </c>
      <c r="T57" s="12">
        <f t="shared" si="5"/>
        <v>0</v>
      </c>
      <c r="U57" s="9">
        <f t="shared" si="6"/>
        <v>0</v>
      </c>
      <c r="V57" s="9">
        <f t="shared" si="7"/>
        <v>0</v>
      </c>
      <c r="W57" s="15" t="str">
        <f t="shared" si="8"/>
        <v/>
      </c>
      <c r="X57" s="2" t="str">
        <f t="shared" si="9"/>
        <v>未計測</v>
      </c>
    </row>
    <row r="58" spans="1:24" x14ac:dyDescent="0.4">
      <c r="A58" s="2" t="s">
        <v>230</v>
      </c>
      <c r="B58" s="2" t="s">
        <v>167</v>
      </c>
      <c r="C58" s="2" t="s">
        <v>142</v>
      </c>
      <c r="D58" s="2" t="s">
        <v>225</v>
      </c>
      <c r="E58" s="2" t="s">
        <v>231</v>
      </c>
      <c r="F58" s="7">
        <v>46232</v>
      </c>
      <c r="G58" s="7">
        <v>46232</v>
      </c>
      <c r="H58" s="9">
        <v>1.5</v>
      </c>
      <c r="I58" s="7"/>
      <c r="J58" s="7"/>
      <c r="K58" s="9"/>
      <c r="L58" s="2" t="s">
        <v>20</v>
      </c>
      <c r="M58" s="2" t="s">
        <v>58</v>
      </c>
      <c r="N58" s="2" t="s">
        <v>22</v>
      </c>
      <c r="O58" s="2" t="s">
        <v>23</v>
      </c>
      <c r="P58" s="2" t="s">
        <v>224</v>
      </c>
      <c r="Q58" s="2" t="s">
        <v>232</v>
      </c>
      <c r="R58" s="2"/>
      <c r="S58" s="12">
        <f>IF(OR(F58="",G58=""),0,MAX(0,MIN(1,(サマリ!$B$9-F58+1)/(G58-F58+1))))</f>
        <v>0</v>
      </c>
      <c r="T58" s="12">
        <f t="shared" si="5"/>
        <v>0</v>
      </c>
      <c r="U58" s="9">
        <f t="shared" si="6"/>
        <v>0</v>
      </c>
      <c r="V58" s="9">
        <f t="shared" si="7"/>
        <v>0</v>
      </c>
      <c r="W58" s="15" t="str">
        <f t="shared" si="8"/>
        <v/>
      </c>
      <c r="X58" s="2" t="str">
        <f t="shared" si="9"/>
        <v>未計測</v>
      </c>
    </row>
    <row r="59" spans="1:24" x14ac:dyDescent="0.4">
      <c r="A59" s="2" t="s">
        <v>233</v>
      </c>
      <c r="B59" s="2" t="s">
        <v>167</v>
      </c>
      <c r="C59" s="2" t="s">
        <v>142</v>
      </c>
      <c r="D59" s="2" t="s">
        <v>225</v>
      </c>
      <c r="E59" s="2" t="s">
        <v>234</v>
      </c>
      <c r="F59" s="7">
        <v>46232</v>
      </c>
      <c r="G59" s="7">
        <v>46232</v>
      </c>
      <c r="H59" s="9">
        <v>1.5</v>
      </c>
      <c r="I59" s="7"/>
      <c r="J59" s="7"/>
      <c r="K59" s="9"/>
      <c r="L59" s="2" t="s">
        <v>20</v>
      </c>
      <c r="M59" s="2" t="s">
        <v>58</v>
      </c>
      <c r="N59" s="2" t="s">
        <v>22</v>
      </c>
      <c r="O59" s="2" t="s">
        <v>45</v>
      </c>
      <c r="P59" s="2" t="s">
        <v>230</v>
      </c>
      <c r="Q59" s="2" t="s">
        <v>235</v>
      </c>
      <c r="R59" s="2"/>
      <c r="S59" s="12">
        <f>IF(OR(F59="",G59=""),0,MAX(0,MIN(1,(サマリ!$B$9-F59+1)/(G59-F59+1))))</f>
        <v>0</v>
      </c>
      <c r="T59" s="12">
        <f t="shared" si="5"/>
        <v>0</v>
      </c>
      <c r="U59" s="9">
        <f t="shared" si="6"/>
        <v>0</v>
      </c>
      <c r="V59" s="9">
        <f t="shared" si="7"/>
        <v>0</v>
      </c>
      <c r="W59" s="15" t="str">
        <f t="shared" si="8"/>
        <v/>
      </c>
      <c r="X59" s="2" t="str">
        <f t="shared" si="9"/>
        <v>未計測</v>
      </c>
    </row>
    <row r="60" spans="1:24" x14ac:dyDescent="0.4">
      <c r="A60" s="2" t="s">
        <v>236</v>
      </c>
      <c r="B60" s="2" t="s">
        <v>167</v>
      </c>
      <c r="C60" s="2" t="s">
        <v>237</v>
      </c>
      <c r="D60" s="2" t="s">
        <v>238</v>
      </c>
      <c r="E60" s="2" t="s">
        <v>239</v>
      </c>
      <c r="F60" s="7">
        <v>46232</v>
      </c>
      <c r="G60" s="7">
        <v>46232</v>
      </c>
      <c r="H60" s="9">
        <v>1.5</v>
      </c>
      <c r="I60" s="7"/>
      <c r="J60" s="7"/>
      <c r="K60" s="9"/>
      <c r="L60" s="2" t="s">
        <v>20</v>
      </c>
      <c r="M60" s="2" t="s">
        <v>58</v>
      </c>
      <c r="N60" s="2" t="s">
        <v>22</v>
      </c>
      <c r="O60" s="2" t="s">
        <v>23</v>
      </c>
      <c r="P60" s="2" t="s">
        <v>149</v>
      </c>
      <c r="Q60" s="2" t="s">
        <v>237</v>
      </c>
      <c r="R60" s="2"/>
      <c r="S60" s="12">
        <f>IF(OR(F60="",G60=""),0,MAX(0,MIN(1,(サマリ!$B$9-F60+1)/(G60-F60+1))))</f>
        <v>0</v>
      </c>
      <c r="T60" s="12">
        <f t="shared" si="5"/>
        <v>0</v>
      </c>
      <c r="U60" s="9">
        <f t="shared" si="6"/>
        <v>0</v>
      </c>
      <c r="V60" s="9">
        <f t="shared" si="7"/>
        <v>0</v>
      </c>
      <c r="W60" s="15" t="str">
        <f t="shared" si="8"/>
        <v/>
      </c>
      <c r="X60" s="2" t="str">
        <f t="shared" si="9"/>
        <v>未計測</v>
      </c>
    </row>
    <row r="61" spans="1:24" x14ac:dyDescent="0.4">
      <c r="A61" s="2" t="s">
        <v>240</v>
      </c>
      <c r="B61" s="2" t="s">
        <v>167</v>
      </c>
      <c r="C61" s="2" t="s">
        <v>237</v>
      </c>
      <c r="D61" s="2" t="s">
        <v>238</v>
      </c>
      <c r="E61" s="2" t="s">
        <v>241</v>
      </c>
      <c r="F61" s="7">
        <v>46232</v>
      </c>
      <c r="G61" s="7">
        <v>46232</v>
      </c>
      <c r="H61" s="9">
        <v>1</v>
      </c>
      <c r="I61" s="7"/>
      <c r="J61" s="7"/>
      <c r="K61" s="9"/>
      <c r="L61" s="2" t="s">
        <v>20</v>
      </c>
      <c r="M61" s="2" t="s">
        <v>58</v>
      </c>
      <c r="N61" s="2" t="s">
        <v>22</v>
      </c>
      <c r="O61" s="2" t="s">
        <v>23</v>
      </c>
      <c r="P61" s="2" t="s">
        <v>236</v>
      </c>
      <c r="Q61" s="2" t="s">
        <v>242</v>
      </c>
      <c r="R61" s="2"/>
      <c r="S61" s="12">
        <f>IF(OR(F61="",G61=""),0,MAX(0,MIN(1,(サマリ!$B$9-F61+1)/(G61-F61+1))))</f>
        <v>0</v>
      </c>
      <c r="T61" s="12">
        <f t="shared" si="5"/>
        <v>0</v>
      </c>
      <c r="U61" s="9">
        <f t="shared" si="6"/>
        <v>0</v>
      </c>
      <c r="V61" s="9">
        <f t="shared" si="7"/>
        <v>0</v>
      </c>
      <c r="W61" s="15" t="str">
        <f t="shared" si="8"/>
        <v/>
      </c>
      <c r="X61" s="2" t="str">
        <f t="shared" si="9"/>
        <v>未計測</v>
      </c>
    </row>
    <row r="62" spans="1:24" x14ac:dyDescent="0.4">
      <c r="A62" s="2" t="s">
        <v>243</v>
      </c>
      <c r="B62" s="2" t="s">
        <v>167</v>
      </c>
      <c r="C62" s="2" t="s">
        <v>237</v>
      </c>
      <c r="D62" s="2" t="s">
        <v>238</v>
      </c>
      <c r="E62" s="2" t="s">
        <v>244</v>
      </c>
      <c r="F62" s="7">
        <v>46232</v>
      </c>
      <c r="G62" s="7">
        <v>46232</v>
      </c>
      <c r="H62" s="9">
        <v>1.5</v>
      </c>
      <c r="I62" s="7"/>
      <c r="J62" s="7"/>
      <c r="K62" s="9"/>
      <c r="L62" s="2" t="s">
        <v>20</v>
      </c>
      <c r="M62" s="2" t="s">
        <v>58</v>
      </c>
      <c r="N62" s="2" t="s">
        <v>22</v>
      </c>
      <c r="O62" s="2" t="s">
        <v>45</v>
      </c>
      <c r="P62" s="2" t="s">
        <v>240</v>
      </c>
      <c r="Q62" s="2" t="s">
        <v>245</v>
      </c>
      <c r="R62" s="2"/>
      <c r="S62" s="12">
        <f>IF(OR(F62="",G62=""),0,MAX(0,MIN(1,(サマリ!$B$9-F62+1)/(G62-F62+1))))</f>
        <v>0</v>
      </c>
      <c r="T62" s="12">
        <f t="shared" si="5"/>
        <v>0</v>
      </c>
      <c r="U62" s="9">
        <f t="shared" si="6"/>
        <v>0</v>
      </c>
      <c r="V62" s="9">
        <f t="shared" si="7"/>
        <v>0</v>
      </c>
      <c r="W62" s="15" t="str">
        <f t="shared" si="8"/>
        <v/>
      </c>
      <c r="X62" s="2" t="str">
        <f t="shared" si="9"/>
        <v>未計測</v>
      </c>
    </row>
    <row r="63" spans="1:24" x14ac:dyDescent="0.4">
      <c r="A63" s="2" t="s">
        <v>246</v>
      </c>
      <c r="B63" s="2" t="s">
        <v>167</v>
      </c>
      <c r="C63" s="2" t="s">
        <v>247</v>
      </c>
      <c r="D63" s="2" t="s">
        <v>248</v>
      </c>
      <c r="E63" s="2" t="s">
        <v>249</v>
      </c>
      <c r="F63" s="7">
        <v>46233</v>
      </c>
      <c r="G63" s="7">
        <v>46233</v>
      </c>
      <c r="H63" s="9">
        <v>2</v>
      </c>
      <c r="I63" s="7"/>
      <c r="J63" s="7"/>
      <c r="K63" s="9"/>
      <c r="L63" s="2" t="s">
        <v>20</v>
      </c>
      <c r="M63" s="2" t="s">
        <v>83</v>
      </c>
      <c r="N63" s="2" t="s">
        <v>22</v>
      </c>
      <c r="O63" s="2" t="s">
        <v>23</v>
      </c>
      <c r="P63" s="2" t="s">
        <v>230</v>
      </c>
      <c r="Q63" s="2" t="s">
        <v>250</v>
      </c>
      <c r="R63" s="2"/>
      <c r="S63" s="12">
        <f>IF(OR(F63="",G63=""),0,MAX(0,MIN(1,(サマリ!$B$9-F63+1)/(G63-F63+1))))</f>
        <v>0</v>
      </c>
      <c r="T63" s="12">
        <f t="shared" si="5"/>
        <v>0</v>
      </c>
      <c r="U63" s="9">
        <f t="shared" si="6"/>
        <v>0</v>
      </c>
      <c r="V63" s="9">
        <f t="shared" si="7"/>
        <v>0</v>
      </c>
      <c r="W63" s="15" t="str">
        <f t="shared" si="8"/>
        <v/>
      </c>
      <c r="X63" s="2" t="str">
        <f t="shared" si="9"/>
        <v>未計測</v>
      </c>
    </row>
    <row r="64" spans="1:24" x14ac:dyDescent="0.4">
      <c r="A64" s="2" t="s">
        <v>251</v>
      </c>
      <c r="B64" s="2" t="s">
        <v>167</v>
      </c>
      <c r="C64" s="2" t="s">
        <v>247</v>
      </c>
      <c r="D64" s="2" t="s">
        <v>248</v>
      </c>
      <c r="E64" s="2" t="s">
        <v>252</v>
      </c>
      <c r="F64" s="7">
        <v>46233</v>
      </c>
      <c r="G64" s="7">
        <v>46233</v>
      </c>
      <c r="H64" s="9">
        <v>1.5</v>
      </c>
      <c r="I64" s="7"/>
      <c r="J64" s="7"/>
      <c r="K64" s="9"/>
      <c r="L64" s="2" t="s">
        <v>20</v>
      </c>
      <c r="M64" s="2" t="s">
        <v>83</v>
      </c>
      <c r="N64" s="2" t="s">
        <v>22</v>
      </c>
      <c r="O64" s="2" t="s">
        <v>23</v>
      </c>
      <c r="P64" s="2" t="s">
        <v>246</v>
      </c>
      <c r="Q64" s="2" t="s">
        <v>253</v>
      </c>
      <c r="R64" s="2"/>
      <c r="S64" s="12">
        <f>IF(OR(F64="",G64=""),0,MAX(0,MIN(1,(サマリ!$B$9-F64+1)/(G64-F64+1))))</f>
        <v>0</v>
      </c>
      <c r="T64" s="12">
        <f t="shared" si="5"/>
        <v>0</v>
      </c>
      <c r="U64" s="9">
        <f t="shared" si="6"/>
        <v>0</v>
      </c>
      <c r="V64" s="9">
        <f t="shared" si="7"/>
        <v>0</v>
      </c>
      <c r="W64" s="15" t="str">
        <f t="shared" si="8"/>
        <v/>
      </c>
      <c r="X64" s="2" t="str">
        <f t="shared" si="9"/>
        <v>未計測</v>
      </c>
    </row>
    <row r="65" spans="1:24" x14ac:dyDescent="0.4">
      <c r="A65" s="2" t="s">
        <v>254</v>
      </c>
      <c r="B65" s="2" t="s">
        <v>167</v>
      </c>
      <c r="C65" s="2" t="s">
        <v>247</v>
      </c>
      <c r="D65" s="2" t="s">
        <v>248</v>
      </c>
      <c r="E65" s="2" t="s">
        <v>255</v>
      </c>
      <c r="F65" s="7">
        <v>46234</v>
      </c>
      <c r="G65" s="7">
        <v>46234</v>
      </c>
      <c r="H65" s="9">
        <v>1.5</v>
      </c>
      <c r="I65" s="7"/>
      <c r="J65" s="7"/>
      <c r="K65" s="9"/>
      <c r="L65" s="2" t="s">
        <v>20</v>
      </c>
      <c r="M65" s="2" t="s">
        <v>83</v>
      </c>
      <c r="N65" s="2" t="s">
        <v>22</v>
      </c>
      <c r="O65" s="2" t="s">
        <v>45</v>
      </c>
      <c r="P65" s="2" t="s">
        <v>251</v>
      </c>
      <c r="Q65" s="2" t="s">
        <v>256</v>
      </c>
      <c r="R65" s="2"/>
      <c r="S65" s="12">
        <f>IF(OR(F65="",G65=""),0,MAX(0,MIN(1,(サマリ!$B$9-F65+1)/(G65-F65+1))))</f>
        <v>0</v>
      </c>
      <c r="T65" s="12">
        <f t="shared" si="5"/>
        <v>0</v>
      </c>
      <c r="U65" s="9">
        <f t="shared" si="6"/>
        <v>0</v>
      </c>
      <c r="V65" s="9">
        <f t="shared" si="7"/>
        <v>0</v>
      </c>
      <c r="W65" s="15" t="str">
        <f t="shared" si="8"/>
        <v/>
      </c>
      <c r="X65" s="2" t="str">
        <f t="shared" si="9"/>
        <v>未計測</v>
      </c>
    </row>
    <row r="66" spans="1:24" x14ac:dyDescent="0.4">
      <c r="A66" s="2" t="s">
        <v>257</v>
      </c>
      <c r="B66" s="2" t="s">
        <v>167</v>
      </c>
      <c r="C66" s="2" t="s">
        <v>247</v>
      </c>
      <c r="D66" s="2" t="s">
        <v>248</v>
      </c>
      <c r="E66" s="2" t="s">
        <v>258</v>
      </c>
      <c r="F66" s="7">
        <v>46234</v>
      </c>
      <c r="G66" s="7">
        <v>46234</v>
      </c>
      <c r="H66" s="9">
        <v>2</v>
      </c>
      <c r="I66" s="7"/>
      <c r="J66" s="7"/>
      <c r="K66" s="9"/>
      <c r="L66" s="2" t="s">
        <v>20</v>
      </c>
      <c r="M66" s="2" t="s">
        <v>83</v>
      </c>
      <c r="N66" s="2" t="s">
        <v>22</v>
      </c>
      <c r="O66" s="2" t="s">
        <v>45</v>
      </c>
      <c r="P66" s="2" t="s">
        <v>246</v>
      </c>
      <c r="Q66" s="2" t="s">
        <v>259</v>
      </c>
      <c r="R66" s="2"/>
      <c r="S66" s="12">
        <f>IF(OR(F66="",G66=""),0,MAX(0,MIN(1,(サマリ!$B$9-F66+1)/(G66-F66+1))))</f>
        <v>0</v>
      </c>
      <c r="T66" s="12">
        <f t="shared" ref="T66:T97" si="10">IF(N66="完了",1,IF(N66="進行中",0.5,IF(N66="保留",0,0)))</f>
        <v>0</v>
      </c>
      <c r="U66" s="9">
        <f t="shared" ref="U66:U97" si="11">H66*S66</f>
        <v>0</v>
      </c>
      <c r="V66" s="9">
        <f t="shared" ref="V66:V97" si="12">H66*T66</f>
        <v>0</v>
      </c>
      <c r="W66" s="15" t="str">
        <f t="shared" ref="W66:W97" si="13">IF(U66=0,"",V66/U66)</f>
        <v/>
      </c>
      <c r="X66" s="2" t="str">
        <f t="shared" ref="X66:X97" si="14">IF(W66="","未計測",IF(W66&gt;=1,"予定通り/前倒し",IF(W66&gt;=0.9,"要注意","遅延")))</f>
        <v>未計測</v>
      </c>
    </row>
    <row r="67" spans="1:24" x14ac:dyDescent="0.4">
      <c r="A67" s="2" t="s">
        <v>260</v>
      </c>
      <c r="B67" s="2" t="s">
        <v>167</v>
      </c>
      <c r="C67" s="2" t="s">
        <v>261</v>
      </c>
      <c r="D67" s="2" t="s">
        <v>262</v>
      </c>
      <c r="E67" s="2" t="s">
        <v>263</v>
      </c>
      <c r="F67" s="7">
        <v>46234</v>
      </c>
      <c r="G67" s="7">
        <v>46235</v>
      </c>
      <c r="H67" s="9">
        <v>2</v>
      </c>
      <c r="I67" s="7"/>
      <c r="J67" s="7"/>
      <c r="K67" s="9"/>
      <c r="L67" s="2" t="s">
        <v>20</v>
      </c>
      <c r="M67" s="2" t="s">
        <v>58</v>
      </c>
      <c r="N67" s="2" t="s">
        <v>22</v>
      </c>
      <c r="O67" s="2" t="s">
        <v>45</v>
      </c>
      <c r="P67" s="2" t="s">
        <v>254</v>
      </c>
      <c r="Q67" s="2" t="s">
        <v>264</v>
      </c>
      <c r="R67" s="2"/>
      <c r="S67" s="12">
        <f>IF(OR(F67="",G67=""),0,MAX(0,MIN(1,(サマリ!$B$9-F67+1)/(G67-F67+1))))</f>
        <v>0</v>
      </c>
      <c r="T67" s="12">
        <f t="shared" si="10"/>
        <v>0</v>
      </c>
      <c r="U67" s="9">
        <f t="shared" si="11"/>
        <v>0</v>
      </c>
      <c r="V67" s="9">
        <f t="shared" si="12"/>
        <v>0</v>
      </c>
      <c r="W67" s="15" t="str">
        <f t="shared" si="13"/>
        <v/>
      </c>
      <c r="X67" s="2" t="str">
        <f t="shared" si="14"/>
        <v>未計測</v>
      </c>
    </row>
    <row r="68" spans="1:24" x14ac:dyDescent="0.4">
      <c r="A68" s="2" t="s">
        <v>265</v>
      </c>
      <c r="B68" s="2" t="s">
        <v>167</v>
      </c>
      <c r="C68" s="2" t="s">
        <v>261</v>
      </c>
      <c r="D68" s="2" t="s">
        <v>262</v>
      </c>
      <c r="E68" s="2" t="s">
        <v>266</v>
      </c>
      <c r="F68" s="7">
        <v>46235</v>
      </c>
      <c r="G68" s="7">
        <v>46235</v>
      </c>
      <c r="H68" s="9">
        <v>1.5</v>
      </c>
      <c r="I68" s="7"/>
      <c r="J68" s="7"/>
      <c r="K68" s="9"/>
      <c r="L68" s="2" t="s">
        <v>20</v>
      </c>
      <c r="M68" s="2" t="s">
        <v>83</v>
      </c>
      <c r="N68" s="2" t="s">
        <v>22</v>
      </c>
      <c r="O68" s="2" t="s">
        <v>45</v>
      </c>
      <c r="P68" s="2" t="s">
        <v>260</v>
      </c>
      <c r="Q68" s="2" t="s">
        <v>267</v>
      </c>
      <c r="R68" s="2"/>
      <c r="S68" s="12">
        <f>IF(OR(F68="",G68=""),0,MAX(0,MIN(1,(サマリ!$B$9-F68+1)/(G68-F68+1))))</f>
        <v>0</v>
      </c>
      <c r="T68" s="12">
        <f t="shared" si="10"/>
        <v>0</v>
      </c>
      <c r="U68" s="9">
        <f t="shared" si="11"/>
        <v>0</v>
      </c>
      <c r="V68" s="9">
        <f t="shared" si="12"/>
        <v>0</v>
      </c>
      <c r="W68" s="15" t="str">
        <f t="shared" si="13"/>
        <v/>
      </c>
      <c r="X68" s="2" t="str">
        <f t="shared" si="14"/>
        <v>未計測</v>
      </c>
    </row>
    <row r="69" spans="1:24" x14ac:dyDescent="0.4">
      <c r="A69" s="2" t="s">
        <v>268</v>
      </c>
      <c r="B69" s="2" t="s">
        <v>167</v>
      </c>
      <c r="C69" s="2" t="s">
        <v>261</v>
      </c>
      <c r="D69" s="2" t="s">
        <v>262</v>
      </c>
      <c r="E69" s="2" t="s">
        <v>269</v>
      </c>
      <c r="F69" s="7">
        <v>46235</v>
      </c>
      <c r="G69" s="7">
        <v>46235</v>
      </c>
      <c r="H69" s="9">
        <v>1.5</v>
      </c>
      <c r="I69" s="7"/>
      <c r="J69" s="7"/>
      <c r="K69" s="9"/>
      <c r="L69" s="2" t="s">
        <v>20</v>
      </c>
      <c r="M69" s="2" t="s">
        <v>83</v>
      </c>
      <c r="N69" s="2" t="s">
        <v>22</v>
      </c>
      <c r="O69" s="2" t="s">
        <v>45</v>
      </c>
      <c r="P69" s="2" t="s">
        <v>265</v>
      </c>
      <c r="Q69" s="2" t="s">
        <v>270</v>
      </c>
      <c r="R69" s="2"/>
      <c r="S69" s="12">
        <f>IF(OR(F69="",G69=""),0,MAX(0,MIN(1,(サマリ!$B$9-F69+1)/(G69-F69+1))))</f>
        <v>0</v>
      </c>
      <c r="T69" s="12">
        <f t="shared" si="10"/>
        <v>0</v>
      </c>
      <c r="U69" s="9">
        <f t="shared" si="11"/>
        <v>0</v>
      </c>
      <c r="V69" s="9">
        <f t="shared" si="12"/>
        <v>0</v>
      </c>
      <c r="W69" s="15" t="str">
        <f t="shared" si="13"/>
        <v/>
      </c>
      <c r="X69" s="2" t="str">
        <f t="shared" si="14"/>
        <v>未計測</v>
      </c>
    </row>
    <row r="70" spans="1:24" x14ac:dyDescent="0.4">
      <c r="A70" s="2" t="s">
        <v>271</v>
      </c>
      <c r="B70" s="2" t="s">
        <v>167</v>
      </c>
      <c r="C70" s="2" t="s">
        <v>261</v>
      </c>
      <c r="D70" s="2" t="s">
        <v>262</v>
      </c>
      <c r="E70" s="2" t="s">
        <v>272</v>
      </c>
      <c r="F70" s="7">
        <v>46235</v>
      </c>
      <c r="G70" s="7">
        <v>46235</v>
      </c>
      <c r="H70" s="9">
        <v>1</v>
      </c>
      <c r="I70" s="7"/>
      <c r="J70" s="7"/>
      <c r="K70" s="9"/>
      <c r="L70" s="2" t="s">
        <v>20</v>
      </c>
      <c r="M70" s="2" t="s">
        <v>40</v>
      </c>
      <c r="N70" s="2" t="s">
        <v>22</v>
      </c>
      <c r="O70" s="2" t="s">
        <v>273</v>
      </c>
      <c r="P70" s="2" t="s">
        <v>268</v>
      </c>
      <c r="Q70" s="2" t="s">
        <v>274</v>
      </c>
      <c r="R70" s="2"/>
      <c r="S70" s="12">
        <f>IF(OR(F70="",G70=""),0,MAX(0,MIN(1,(サマリ!$B$9-F70+1)/(G70-F70+1))))</f>
        <v>0</v>
      </c>
      <c r="T70" s="12">
        <f t="shared" si="10"/>
        <v>0</v>
      </c>
      <c r="U70" s="9">
        <f t="shared" si="11"/>
        <v>0</v>
      </c>
      <c r="V70" s="9">
        <f t="shared" si="12"/>
        <v>0</v>
      </c>
      <c r="W70" s="15" t="str">
        <f t="shared" si="13"/>
        <v/>
      </c>
      <c r="X70" s="2" t="str">
        <f t="shared" si="14"/>
        <v>未計測</v>
      </c>
    </row>
    <row r="71" spans="1:24" x14ac:dyDescent="0.4">
      <c r="A71" s="2" t="s">
        <v>275</v>
      </c>
      <c r="B71" s="2" t="s">
        <v>167</v>
      </c>
      <c r="C71" s="2" t="s">
        <v>276</v>
      </c>
      <c r="D71" s="2" t="s">
        <v>277</v>
      </c>
      <c r="E71" s="2" t="s">
        <v>278</v>
      </c>
      <c r="F71" s="7">
        <v>46235</v>
      </c>
      <c r="G71" s="7">
        <v>46235</v>
      </c>
      <c r="H71" s="9">
        <v>1.5</v>
      </c>
      <c r="I71" s="7"/>
      <c r="J71" s="7"/>
      <c r="K71" s="9"/>
      <c r="L71" s="2" t="s">
        <v>20</v>
      </c>
      <c r="M71" s="2" t="s">
        <v>40</v>
      </c>
      <c r="N71" s="2" t="s">
        <v>22</v>
      </c>
      <c r="O71" s="2" t="s">
        <v>23</v>
      </c>
      <c r="P71" s="2" t="s">
        <v>251</v>
      </c>
      <c r="Q71" s="2" t="s">
        <v>279</v>
      </c>
      <c r="R71" s="2"/>
      <c r="S71" s="12">
        <f>IF(OR(F71="",G71=""),0,MAX(0,MIN(1,(サマリ!$B$9-F71+1)/(G71-F71+1))))</f>
        <v>0</v>
      </c>
      <c r="T71" s="12">
        <f t="shared" si="10"/>
        <v>0</v>
      </c>
      <c r="U71" s="9">
        <f t="shared" si="11"/>
        <v>0</v>
      </c>
      <c r="V71" s="9">
        <f t="shared" si="12"/>
        <v>0</v>
      </c>
      <c r="W71" s="15" t="str">
        <f t="shared" si="13"/>
        <v/>
      </c>
      <c r="X71" s="2" t="str">
        <f t="shared" si="14"/>
        <v>未計測</v>
      </c>
    </row>
    <row r="72" spans="1:24" x14ac:dyDescent="0.4">
      <c r="A72" s="2" t="s">
        <v>280</v>
      </c>
      <c r="B72" s="2" t="s">
        <v>167</v>
      </c>
      <c r="C72" s="2" t="s">
        <v>276</v>
      </c>
      <c r="D72" s="2" t="s">
        <v>277</v>
      </c>
      <c r="E72" s="2" t="s">
        <v>281</v>
      </c>
      <c r="F72" s="7">
        <v>46235</v>
      </c>
      <c r="G72" s="7">
        <v>46236</v>
      </c>
      <c r="H72" s="9">
        <v>1.5</v>
      </c>
      <c r="I72" s="7"/>
      <c r="J72" s="7"/>
      <c r="K72" s="9"/>
      <c r="L72" s="2" t="s">
        <v>20</v>
      </c>
      <c r="M72" s="2" t="s">
        <v>40</v>
      </c>
      <c r="N72" s="2" t="s">
        <v>22</v>
      </c>
      <c r="O72" s="2" t="s">
        <v>23</v>
      </c>
      <c r="P72" s="2" t="s">
        <v>275</v>
      </c>
      <c r="Q72" s="2" t="s">
        <v>279</v>
      </c>
      <c r="R72" s="2"/>
      <c r="S72" s="12">
        <f>IF(OR(F72="",G72=""),0,MAX(0,MIN(1,(サマリ!$B$9-F72+1)/(G72-F72+1))))</f>
        <v>0</v>
      </c>
      <c r="T72" s="12">
        <f t="shared" si="10"/>
        <v>0</v>
      </c>
      <c r="U72" s="9">
        <f t="shared" si="11"/>
        <v>0</v>
      </c>
      <c r="V72" s="9">
        <f t="shared" si="12"/>
        <v>0</v>
      </c>
      <c r="W72" s="15" t="str">
        <f t="shared" si="13"/>
        <v/>
      </c>
      <c r="X72" s="2" t="str">
        <f t="shared" si="14"/>
        <v>未計測</v>
      </c>
    </row>
    <row r="73" spans="1:24" x14ac:dyDescent="0.4">
      <c r="A73" s="2" t="s">
        <v>282</v>
      </c>
      <c r="B73" s="2" t="s">
        <v>167</v>
      </c>
      <c r="C73" s="2" t="s">
        <v>276</v>
      </c>
      <c r="D73" s="2" t="s">
        <v>277</v>
      </c>
      <c r="E73" s="2" t="s">
        <v>283</v>
      </c>
      <c r="F73" s="7">
        <v>46236</v>
      </c>
      <c r="G73" s="7">
        <v>46236</v>
      </c>
      <c r="H73" s="9">
        <v>1.5</v>
      </c>
      <c r="I73" s="7"/>
      <c r="J73" s="7"/>
      <c r="K73" s="9"/>
      <c r="L73" s="2" t="s">
        <v>20</v>
      </c>
      <c r="M73" s="2" t="s">
        <v>160</v>
      </c>
      <c r="N73" s="2" t="s">
        <v>22</v>
      </c>
      <c r="O73" s="2" t="s">
        <v>45</v>
      </c>
      <c r="P73" s="2" t="s">
        <v>280</v>
      </c>
      <c r="Q73" s="2" t="s">
        <v>284</v>
      </c>
      <c r="R73" s="2"/>
      <c r="S73" s="12">
        <f>IF(OR(F73="",G73=""),0,MAX(0,MIN(1,(サマリ!$B$9-F73+1)/(G73-F73+1))))</f>
        <v>0</v>
      </c>
      <c r="T73" s="12">
        <f t="shared" si="10"/>
        <v>0</v>
      </c>
      <c r="U73" s="9">
        <f t="shared" si="11"/>
        <v>0</v>
      </c>
      <c r="V73" s="9">
        <f t="shared" si="12"/>
        <v>0</v>
      </c>
      <c r="W73" s="15" t="str">
        <f t="shared" si="13"/>
        <v/>
      </c>
      <c r="X73" s="2" t="str">
        <f t="shared" si="14"/>
        <v>未計測</v>
      </c>
    </row>
    <row r="74" spans="1:24" x14ac:dyDescent="0.4">
      <c r="A74" s="2" t="s">
        <v>285</v>
      </c>
      <c r="B74" s="2" t="s">
        <v>167</v>
      </c>
      <c r="C74" s="2" t="s">
        <v>276</v>
      </c>
      <c r="D74" s="2" t="s">
        <v>277</v>
      </c>
      <c r="E74" s="2" t="s">
        <v>286</v>
      </c>
      <c r="F74" s="7">
        <v>46236</v>
      </c>
      <c r="G74" s="7">
        <v>46236</v>
      </c>
      <c r="H74" s="9">
        <v>1.5</v>
      </c>
      <c r="I74" s="7"/>
      <c r="J74" s="7"/>
      <c r="K74" s="9"/>
      <c r="L74" s="2" t="s">
        <v>20</v>
      </c>
      <c r="M74" s="2" t="s">
        <v>58</v>
      </c>
      <c r="N74" s="2" t="s">
        <v>22</v>
      </c>
      <c r="O74" s="2" t="s">
        <v>45</v>
      </c>
      <c r="P74" s="2" t="s">
        <v>183</v>
      </c>
      <c r="Q74" s="2" t="s">
        <v>287</v>
      </c>
      <c r="R74" s="2"/>
      <c r="S74" s="12">
        <f>IF(OR(F74="",G74=""),0,MAX(0,MIN(1,(サマリ!$B$9-F74+1)/(G74-F74+1))))</f>
        <v>0</v>
      </c>
      <c r="T74" s="12">
        <f t="shared" si="10"/>
        <v>0</v>
      </c>
      <c r="U74" s="9">
        <f t="shared" si="11"/>
        <v>0</v>
      </c>
      <c r="V74" s="9">
        <f t="shared" si="12"/>
        <v>0</v>
      </c>
      <c r="W74" s="15" t="str">
        <f t="shared" si="13"/>
        <v/>
      </c>
      <c r="X74" s="2" t="str">
        <f t="shared" si="14"/>
        <v>未計測</v>
      </c>
    </row>
    <row r="75" spans="1:24" x14ac:dyDescent="0.4">
      <c r="A75" s="2" t="s">
        <v>288</v>
      </c>
      <c r="B75" s="2" t="s">
        <v>167</v>
      </c>
      <c r="C75" s="2" t="s">
        <v>289</v>
      </c>
      <c r="D75" s="2" t="s">
        <v>290</v>
      </c>
      <c r="E75" s="2" t="s">
        <v>291</v>
      </c>
      <c r="F75" s="7">
        <v>46236</v>
      </c>
      <c r="G75" s="7">
        <v>46236</v>
      </c>
      <c r="H75" s="9">
        <v>1.5</v>
      </c>
      <c r="I75" s="7"/>
      <c r="J75" s="7"/>
      <c r="K75" s="9"/>
      <c r="L75" s="2" t="s">
        <v>20</v>
      </c>
      <c r="M75" s="2" t="s">
        <v>292</v>
      </c>
      <c r="N75" s="2" t="s">
        <v>22</v>
      </c>
      <c r="O75" s="2" t="s">
        <v>23</v>
      </c>
      <c r="P75" s="2" t="s">
        <v>152</v>
      </c>
      <c r="Q75" s="2" t="s">
        <v>290</v>
      </c>
      <c r="R75" s="2"/>
      <c r="S75" s="12">
        <f>IF(OR(F75="",G75=""),0,MAX(0,MIN(1,(サマリ!$B$9-F75+1)/(G75-F75+1))))</f>
        <v>0</v>
      </c>
      <c r="T75" s="12">
        <f t="shared" si="10"/>
        <v>0</v>
      </c>
      <c r="U75" s="9">
        <f t="shared" si="11"/>
        <v>0</v>
      </c>
      <c r="V75" s="9">
        <f t="shared" si="12"/>
        <v>0</v>
      </c>
      <c r="W75" s="15" t="str">
        <f t="shared" si="13"/>
        <v/>
      </c>
      <c r="X75" s="2" t="str">
        <f t="shared" si="14"/>
        <v>未計測</v>
      </c>
    </row>
    <row r="76" spans="1:24" x14ac:dyDescent="0.4">
      <c r="A76" s="2" t="s">
        <v>293</v>
      </c>
      <c r="B76" s="2" t="s">
        <v>167</v>
      </c>
      <c r="C76" s="2" t="s">
        <v>289</v>
      </c>
      <c r="D76" s="2" t="s">
        <v>290</v>
      </c>
      <c r="E76" s="2" t="s">
        <v>294</v>
      </c>
      <c r="F76" s="7">
        <v>46236</v>
      </c>
      <c r="G76" s="7">
        <v>46236</v>
      </c>
      <c r="H76" s="9">
        <v>1.5</v>
      </c>
      <c r="I76" s="7"/>
      <c r="J76" s="7"/>
      <c r="K76" s="9"/>
      <c r="L76" s="2" t="s">
        <v>20</v>
      </c>
      <c r="M76" s="2" t="s">
        <v>40</v>
      </c>
      <c r="N76" s="2" t="s">
        <v>22</v>
      </c>
      <c r="O76" s="2" t="s">
        <v>23</v>
      </c>
      <c r="P76" s="2" t="s">
        <v>288</v>
      </c>
      <c r="Q76" s="2" t="s">
        <v>290</v>
      </c>
      <c r="R76" s="2"/>
      <c r="S76" s="12">
        <f>IF(OR(F76="",G76=""),0,MAX(0,MIN(1,(サマリ!$B$9-F76+1)/(G76-F76+1))))</f>
        <v>0</v>
      </c>
      <c r="T76" s="12">
        <f t="shared" si="10"/>
        <v>0</v>
      </c>
      <c r="U76" s="9">
        <f t="shared" si="11"/>
        <v>0</v>
      </c>
      <c r="V76" s="9">
        <f t="shared" si="12"/>
        <v>0</v>
      </c>
      <c r="W76" s="15" t="str">
        <f t="shared" si="13"/>
        <v/>
      </c>
      <c r="X76" s="2" t="str">
        <f t="shared" si="14"/>
        <v>未計測</v>
      </c>
    </row>
    <row r="77" spans="1:24" x14ac:dyDescent="0.4">
      <c r="A77" s="2" t="s">
        <v>295</v>
      </c>
      <c r="B77" s="2" t="s">
        <v>167</v>
      </c>
      <c r="C77" s="2" t="s">
        <v>289</v>
      </c>
      <c r="D77" s="2" t="s">
        <v>290</v>
      </c>
      <c r="E77" s="2" t="s">
        <v>296</v>
      </c>
      <c r="F77" s="7">
        <v>46236</v>
      </c>
      <c r="G77" s="7">
        <v>46236</v>
      </c>
      <c r="H77" s="9">
        <v>1</v>
      </c>
      <c r="I77" s="7"/>
      <c r="J77" s="7"/>
      <c r="K77" s="9"/>
      <c r="L77" s="2" t="s">
        <v>20</v>
      </c>
      <c r="M77" s="2" t="s">
        <v>297</v>
      </c>
      <c r="N77" s="2" t="s">
        <v>22</v>
      </c>
      <c r="O77" s="2" t="s">
        <v>45</v>
      </c>
      <c r="P77" s="2" t="s">
        <v>293</v>
      </c>
      <c r="Q77" s="2" t="s">
        <v>290</v>
      </c>
      <c r="R77" s="2"/>
      <c r="S77" s="12">
        <f>IF(OR(F77="",G77=""),0,MAX(0,MIN(1,(サマリ!$B$9-F77+1)/(G77-F77+1))))</f>
        <v>0</v>
      </c>
      <c r="T77" s="12">
        <f t="shared" si="10"/>
        <v>0</v>
      </c>
      <c r="U77" s="9">
        <f t="shared" si="11"/>
        <v>0</v>
      </c>
      <c r="V77" s="9">
        <f t="shared" si="12"/>
        <v>0</v>
      </c>
      <c r="W77" s="15" t="str">
        <f t="shared" si="13"/>
        <v/>
      </c>
      <c r="X77" s="2" t="str">
        <f t="shared" si="14"/>
        <v>未計測</v>
      </c>
    </row>
    <row r="78" spans="1:24" x14ac:dyDescent="0.4">
      <c r="A78" s="2" t="s">
        <v>298</v>
      </c>
      <c r="B78" s="2" t="s">
        <v>299</v>
      </c>
      <c r="C78" s="2" t="s">
        <v>300</v>
      </c>
      <c r="D78" s="2" t="s">
        <v>301</v>
      </c>
      <c r="E78" s="2" t="s">
        <v>302</v>
      </c>
      <c r="F78" s="7">
        <v>46237</v>
      </c>
      <c r="G78" s="7">
        <v>46237</v>
      </c>
      <c r="H78" s="9">
        <v>2</v>
      </c>
      <c r="I78" s="7"/>
      <c r="J78" s="7"/>
      <c r="K78" s="9"/>
      <c r="L78" s="2" t="s">
        <v>20</v>
      </c>
      <c r="M78" s="2" t="s">
        <v>58</v>
      </c>
      <c r="N78" s="2" t="s">
        <v>22</v>
      </c>
      <c r="O78" s="2" t="s">
        <v>23</v>
      </c>
      <c r="P78" s="2" t="s">
        <v>202</v>
      </c>
      <c r="Q78" s="2" t="s">
        <v>301</v>
      </c>
      <c r="R78" s="2"/>
      <c r="S78" s="12">
        <f>IF(OR(F78="",G78=""),0,MAX(0,MIN(1,(サマリ!$B$9-F78+1)/(G78-F78+1))))</f>
        <v>0</v>
      </c>
      <c r="T78" s="12">
        <f t="shared" si="10"/>
        <v>0</v>
      </c>
      <c r="U78" s="9">
        <f t="shared" si="11"/>
        <v>0</v>
      </c>
      <c r="V78" s="9">
        <f t="shared" si="12"/>
        <v>0</v>
      </c>
      <c r="W78" s="15" t="str">
        <f t="shared" si="13"/>
        <v/>
      </c>
      <c r="X78" s="2" t="str">
        <f t="shared" si="14"/>
        <v>未計測</v>
      </c>
    </row>
    <row r="79" spans="1:24" x14ac:dyDescent="0.4">
      <c r="A79" s="2" t="s">
        <v>303</v>
      </c>
      <c r="B79" s="2" t="s">
        <v>299</v>
      </c>
      <c r="C79" s="2" t="s">
        <v>300</v>
      </c>
      <c r="D79" s="2" t="s">
        <v>301</v>
      </c>
      <c r="E79" s="2" t="s">
        <v>304</v>
      </c>
      <c r="F79" s="7">
        <v>46237</v>
      </c>
      <c r="G79" s="7">
        <v>46237</v>
      </c>
      <c r="H79" s="9">
        <v>2</v>
      </c>
      <c r="I79" s="7"/>
      <c r="J79" s="7"/>
      <c r="K79" s="9"/>
      <c r="L79" s="2" t="s">
        <v>20</v>
      </c>
      <c r="M79" s="2" t="s">
        <v>58</v>
      </c>
      <c r="N79" s="2" t="s">
        <v>22</v>
      </c>
      <c r="O79" s="2" t="s">
        <v>23</v>
      </c>
      <c r="P79" s="2" t="s">
        <v>210</v>
      </c>
      <c r="Q79" s="2" t="s">
        <v>301</v>
      </c>
      <c r="R79" s="2"/>
      <c r="S79" s="12">
        <f>IF(OR(F79="",G79=""),0,MAX(0,MIN(1,(サマリ!$B$9-F79+1)/(G79-F79+1))))</f>
        <v>0</v>
      </c>
      <c r="T79" s="12">
        <f t="shared" si="10"/>
        <v>0</v>
      </c>
      <c r="U79" s="9">
        <f t="shared" si="11"/>
        <v>0</v>
      </c>
      <c r="V79" s="9">
        <f t="shared" si="12"/>
        <v>0</v>
      </c>
      <c r="W79" s="15" t="str">
        <f t="shared" si="13"/>
        <v/>
      </c>
      <c r="X79" s="2" t="str">
        <f t="shared" si="14"/>
        <v>未計測</v>
      </c>
    </row>
    <row r="80" spans="1:24" x14ac:dyDescent="0.4">
      <c r="A80" s="2" t="s">
        <v>305</v>
      </c>
      <c r="B80" s="2" t="s">
        <v>299</v>
      </c>
      <c r="C80" s="2" t="s">
        <v>300</v>
      </c>
      <c r="D80" s="2" t="s">
        <v>301</v>
      </c>
      <c r="E80" s="2" t="s">
        <v>306</v>
      </c>
      <c r="F80" s="7">
        <v>46237</v>
      </c>
      <c r="G80" s="7">
        <v>46237</v>
      </c>
      <c r="H80" s="9">
        <v>2</v>
      </c>
      <c r="I80" s="7"/>
      <c r="J80" s="7"/>
      <c r="K80" s="9"/>
      <c r="L80" s="2" t="s">
        <v>20</v>
      </c>
      <c r="M80" s="2" t="s">
        <v>58</v>
      </c>
      <c r="N80" s="2" t="s">
        <v>22</v>
      </c>
      <c r="O80" s="2" t="s">
        <v>23</v>
      </c>
      <c r="P80" s="2" t="s">
        <v>257</v>
      </c>
      <c r="Q80" s="2" t="s">
        <v>301</v>
      </c>
      <c r="R80" s="2"/>
      <c r="S80" s="12">
        <f>IF(OR(F80="",G80=""),0,MAX(0,MIN(1,(サマリ!$B$9-F80+1)/(G80-F80+1))))</f>
        <v>0</v>
      </c>
      <c r="T80" s="12">
        <f t="shared" si="10"/>
        <v>0</v>
      </c>
      <c r="U80" s="9">
        <f t="shared" si="11"/>
        <v>0</v>
      </c>
      <c r="V80" s="9">
        <f t="shared" si="12"/>
        <v>0</v>
      </c>
      <c r="W80" s="15" t="str">
        <f t="shared" si="13"/>
        <v/>
      </c>
      <c r="X80" s="2" t="str">
        <f t="shared" si="14"/>
        <v>未計測</v>
      </c>
    </row>
    <row r="81" spans="1:24" x14ac:dyDescent="0.4">
      <c r="A81" s="2" t="s">
        <v>307</v>
      </c>
      <c r="B81" s="2" t="s">
        <v>299</v>
      </c>
      <c r="C81" s="2" t="s">
        <v>308</v>
      </c>
      <c r="D81" s="2" t="s">
        <v>309</v>
      </c>
      <c r="E81" s="2" t="s">
        <v>310</v>
      </c>
      <c r="F81" s="7">
        <v>46237</v>
      </c>
      <c r="G81" s="7">
        <v>46238</v>
      </c>
      <c r="H81" s="9">
        <v>2</v>
      </c>
      <c r="I81" s="7"/>
      <c r="J81" s="7"/>
      <c r="K81" s="9"/>
      <c r="L81" s="2" t="s">
        <v>20</v>
      </c>
      <c r="M81" s="2" t="s">
        <v>36</v>
      </c>
      <c r="N81" s="2" t="s">
        <v>22</v>
      </c>
      <c r="O81" s="2" t="s">
        <v>23</v>
      </c>
      <c r="P81" s="2" t="s">
        <v>303</v>
      </c>
      <c r="Q81" s="2" t="s">
        <v>309</v>
      </c>
      <c r="R81" s="2"/>
      <c r="S81" s="12">
        <f>IF(OR(F81="",G81=""),0,MAX(0,MIN(1,(サマリ!$B$9-F81+1)/(G81-F81+1))))</f>
        <v>0</v>
      </c>
      <c r="T81" s="12">
        <f t="shared" si="10"/>
        <v>0</v>
      </c>
      <c r="U81" s="9">
        <f t="shared" si="11"/>
        <v>0</v>
      </c>
      <c r="V81" s="9">
        <f t="shared" si="12"/>
        <v>0</v>
      </c>
      <c r="W81" s="15" t="str">
        <f t="shared" si="13"/>
        <v/>
      </c>
      <c r="X81" s="2" t="str">
        <f t="shared" si="14"/>
        <v>未計測</v>
      </c>
    </row>
    <row r="82" spans="1:24" x14ac:dyDescent="0.4">
      <c r="A82" s="2" t="s">
        <v>311</v>
      </c>
      <c r="B82" s="2" t="s">
        <v>299</v>
      </c>
      <c r="C82" s="2" t="s">
        <v>308</v>
      </c>
      <c r="D82" s="2" t="s">
        <v>309</v>
      </c>
      <c r="E82" s="2" t="s">
        <v>312</v>
      </c>
      <c r="F82" s="7">
        <v>46238</v>
      </c>
      <c r="G82" s="7">
        <v>46238</v>
      </c>
      <c r="H82" s="9">
        <v>1.5</v>
      </c>
      <c r="I82" s="7"/>
      <c r="J82" s="7"/>
      <c r="K82" s="9"/>
      <c r="L82" s="2" t="s">
        <v>20</v>
      </c>
      <c r="M82" s="2" t="s">
        <v>58</v>
      </c>
      <c r="N82" s="2" t="s">
        <v>22</v>
      </c>
      <c r="O82" s="2" t="s">
        <v>23</v>
      </c>
      <c r="P82" s="2" t="s">
        <v>307</v>
      </c>
      <c r="Q82" s="2" t="s">
        <v>309</v>
      </c>
      <c r="R82" s="2"/>
      <c r="S82" s="12">
        <f>IF(OR(F82="",G82=""),0,MAX(0,MIN(1,(サマリ!$B$9-F82+1)/(G82-F82+1))))</f>
        <v>0</v>
      </c>
      <c r="T82" s="12">
        <f t="shared" si="10"/>
        <v>0</v>
      </c>
      <c r="U82" s="9">
        <f t="shared" si="11"/>
        <v>0</v>
      </c>
      <c r="V82" s="9">
        <f t="shared" si="12"/>
        <v>0</v>
      </c>
      <c r="W82" s="15" t="str">
        <f t="shared" si="13"/>
        <v/>
      </c>
      <c r="X82" s="2" t="str">
        <f t="shared" si="14"/>
        <v>未計測</v>
      </c>
    </row>
    <row r="83" spans="1:24" x14ac:dyDescent="0.4">
      <c r="A83" s="2" t="s">
        <v>313</v>
      </c>
      <c r="B83" s="2" t="s">
        <v>299</v>
      </c>
      <c r="C83" s="2" t="s">
        <v>308</v>
      </c>
      <c r="D83" s="2" t="s">
        <v>309</v>
      </c>
      <c r="E83" s="2" t="s">
        <v>314</v>
      </c>
      <c r="F83" s="7">
        <v>46238</v>
      </c>
      <c r="G83" s="7">
        <v>46238</v>
      </c>
      <c r="H83" s="9">
        <v>1.5</v>
      </c>
      <c r="I83" s="7"/>
      <c r="J83" s="7"/>
      <c r="K83" s="9"/>
      <c r="L83" s="2" t="s">
        <v>20</v>
      </c>
      <c r="M83" s="2" t="s">
        <v>156</v>
      </c>
      <c r="N83" s="2" t="s">
        <v>22</v>
      </c>
      <c r="O83" s="2" t="s">
        <v>45</v>
      </c>
      <c r="P83" s="2" t="s">
        <v>311</v>
      </c>
      <c r="Q83" s="2" t="s">
        <v>309</v>
      </c>
      <c r="R83" s="2"/>
      <c r="S83" s="12">
        <f>IF(OR(F83="",G83=""),0,MAX(0,MIN(1,(サマリ!$B$9-F83+1)/(G83-F83+1))))</f>
        <v>0</v>
      </c>
      <c r="T83" s="12">
        <f t="shared" si="10"/>
        <v>0</v>
      </c>
      <c r="U83" s="9">
        <f t="shared" si="11"/>
        <v>0</v>
      </c>
      <c r="V83" s="9">
        <f t="shared" si="12"/>
        <v>0</v>
      </c>
      <c r="W83" s="15" t="str">
        <f t="shared" si="13"/>
        <v/>
      </c>
      <c r="X83" s="2" t="str">
        <f t="shared" si="14"/>
        <v>未計測</v>
      </c>
    </row>
    <row r="84" spans="1:24" x14ac:dyDescent="0.4">
      <c r="A84" s="2" t="s">
        <v>315</v>
      </c>
      <c r="B84" s="2" t="s">
        <v>299</v>
      </c>
      <c r="C84" s="2" t="s">
        <v>142</v>
      </c>
      <c r="D84" s="2" t="s">
        <v>309</v>
      </c>
      <c r="E84" s="2" t="s">
        <v>316</v>
      </c>
      <c r="F84" s="7">
        <v>46238</v>
      </c>
      <c r="G84" s="7">
        <v>46238</v>
      </c>
      <c r="H84" s="9">
        <v>2</v>
      </c>
      <c r="I84" s="7"/>
      <c r="J84" s="7"/>
      <c r="K84" s="9"/>
      <c r="L84" s="2" t="s">
        <v>20</v>
      </c>
      <c r="M84" s="2" t="s">
        <v>113</v>
      </c>
      <c r="N84" s="2" t="s">
        <v>22</v>
      </c>
      <c r="O84" s="2" t="s">
        <v>23</v>
      </c>
      <c r="P84" s="2" t="s">
        <v>305</v>
      </c>
      <c r="Q84" s="2" t="s">
        <v>309</v>
      </c>
      <c r="R84" s="2"/>
      <c r="S84" s="12">
        <f>IF(OR(F84="",G84=""),0,MAX(0,MIN(1,(サマリ!$B$9-F84+1)/(G84-F84+1))))</f>
        <v>0</v>
      </c>
      <c r="T84" s="12">
        <f t="shared" si="10"/>
        <v>0</v>
      </c>
      <c r="U84" s="9">
        <f t="shared" si="11"/>
        <v>0</v>
      </c>
      <c r="V84" s="9">
        <f t="shared" si="12"/>
        <v>0</v>
      </c>
      <c r="W84" s="15" t="str">
        <f t="shared" si="13"/>
        <v/>
      </c>
      <c r="X84" s="2" t="str">
        <f t="shared" si="14"/>
        <v>未計測</v>
      </c>
    </row>
    <row r="85" spans="1:24" x14ac:dyDescent="0.4">
      <c r="A85" s="2" t="s">
        <v>317</v>
      </c>
      <c r="B85" s="2" t="s">
        <v>299</v>
      </c>
      <c r="C85" s="2" t="s">
        <v>142</v>
      </c>
      <c r="D85" s="2" t="s">
        <v>309</v>
      </c>
      <c r="E85" s="2" t="s">
        <v>318</v>
      </c>
      <c r="F85" s="7">
        <v>46238</v>
      </c>
      <c r="G85" s="7">
        <v>46238</v>
      </c>
      <c r="H85" s="9">
        <v>1.5</v>
      </c>
      <c r="I85" s="7"/>
      <c r="J85" s="7"/>
      <c r="K85" s="9"/>
      <c r="L85" s="2" t="s">
        <v>20</v>
      </c>
      <c r="M85" s="2" t="s">
        <v>113</v>
      </c>
      <c r="N85" s="2" t="s">
        <v>22</v>
      </c>
      <c r="O85" s="2" t="s">
        <v>23</v>
      </c>
      <c r="P85" s="2" t="s">
        <v>315</v>
      </c>
      <c r="Q85" s="2" t="s">
        <v>309</v>
      </c>
      <c r="R85" s="2"/>
      <c r="S85" s="12">
        <f>IF(OR(F85="",G85=""),0,MAX(0,MIN(1,(サマリ!$B$9-F85+1)/(G85-F85+1))))</f>
        <v>0</v>
      </c>
      <c r="T85" s="12">
        <f t="shared" si="10"/>
        <v>0</v>
      </c>
      <c r="U85" s="9">
        <f t="shared" si="11"/>
        <v>0</v>
      </c>
      <c r="V85" s="9">
        <f t="shared" si="12"/>
        <v>0</v>
      </c>
      <c r="W85" s="15" t="str">
        <f t="shared" si="13"/>
        <v/>
      </c>
      <c r="X85" s="2" t="str">
        <f t="shared" si="14"/>
        <v>未計測</v>
      </c>
    </row>
    <row r="86" spans="1:24" x14ac:dyDescent="0.4">
      <c r="A86" s="2" t="s">
        <v>319</v>
      </c>
      <c r="B86" s="2" t="s">
        <v>299</v>
      </c>
      <c r="C86" s="2" t="s">
        <v>142</v>
      </c>
      <c r="D86" s="2" t="s">
        <v>309</v>
      </c>
      <c r="E86" s="2" t="s">
        <v>320</v>
      </c>
      <c r="F86" s="7">
        <v>46238</v>
      </c>
      <c r="G86" s="7">
        <v>46238</v>
      </c>
      <c r="H86" s="9">
        <v>1.5</v>
      </c>
      <c r="I86" s="7"/>
      <c r="J86" s="7"/>
      <c r="K86" s="9"/>
      <c r="L86" s="2" t="s">
        <v>20</v>
      </c>
      <c r="M86" s="2" t="s">
        <v>113</v>
      </c>
      <c r="N86" s="2" t="s">
        <v>22</v>
      </c>
      <c r="O86" s="2" t="s">
        <v>45</v>
      </c>
      <c r="P86" s="2" t="s">
        <v>317</v>
      </c>
      <c r="Q86" s="2" t="s">
        <v>309</v>
      </c>
      <c r="R86" s="2"/>
      <c r="S86" s="12">
        <f>IF(OR(F86="",G86=""),0,MAX(0,MIN(1,(サマリ!$B$9-F86+1)/(G86-F86+1))))</f>
        <v>0</v>
      </c>
      <c r="T86" s="12">
        <f t="shared" si="10"/>
        <v>0</v>
      </c>
      <c r="U86" s="9">
        <f t="shared" si="11"/>
        <v>0</v>
      </c>
      <c r="V86" s="9">
        <f t="shared" si="12"/>
        <v>0</v>
      </c>
      <c r="W86" s="15" t="str">
        <f t="shared" si="13"/>
        <v/>
      </c>
      <c r="X86" s="2" t="str">
        <f t="shared" si="14"/>
        <v>未計測</v>
      </c>
    </row>
    <row r="87" spans="1:24" x14ac:dyDescent="0.4">
      <c r="A87" s="2" t="s">
        <v>321</v>
      </c>
      <c r="B87" s="2" t="s">
        <v>299</v>
      </c>
      <c r="C87" s="2" t="s">
        <v>322</v>
      </c>
      <c r="D87" s="2" t="s">
        <v>309</v>
      </c>
      <c r="E87" s="2" t="s">
        <v>323</v>
      </c>
      <c r="F87" s="7">
        <v>46239</v>
      </c>
      <c r="G87" s="7">
        <v>46239</v>
      </c>
      <c r="H87" s="9">
        <v>2</v>
      </c>
      <c r="I87" s="7"/>
      <c r="J87" s="7"/>
      <c r="K87" s="9"/>
      <c r="L87" s="2" t="s">
        <v>20</v>
      </c>
      <c r="M87" s="2" t="s">
        <v>40</v>
      </c>
      <c r="N87" s="2" t="s">
        <v>22</v>
      </c>
      <c r="O87" s="2" t="s">
        <v>45</v>
      </c>
      <c r="P87" s="2" t="s">
        <v>257</v>
      </c>
      <c r="Q87" s="2" t="s">
        <v>309</v>
      </c>
      <c r="R87" s="2"/>
      <c r="S87" s="12">
        <f>IF(OR(F87="",G87=""),0,MAX(0,MIN(1,(サマリ!$B$9-F87+1)/(G87-F87+1))))</f>
        <v>0</v>
      </c>
      <c r="T87" s="12">
        <f t="shared" si="10"/>
        <v>0</v>
      </c>
      <c r="U87" s="9">
        <f t="shared" si="11"/>
        <v>0</v>
      </c>
      <c r="V87" s="9">
        <f t="shared" si="12"/>
        <v>0</v>
      </c>
      <c r="W87" s="15" t="str">
        <f t="shared" si="13"/>
        <v/>
      </c>
      <c r="X87" s="2" t="str">
        <f t="shared" si="14"/>
        <v>未計測</v>
      </c>
    </row>
    <row r="88" spans="1:24" x14ac:dyDescent="0.4">
      <c r="A88" s="2" t="s">
        <v>324</v>
      </c>
      <c r="B88" s="2" t="s">
        <v>299</v>
      </c>
      <c r="C88" s="2" t="s">
        <v>322</v>
      </c>
      <c r="D88" s="2" t="s">
        <v>309</v>
      </c>
      <c r="E88" s="2" t="s">
        <v>325</v>
      </c>
      <c r="F88" s="7">
        <v>46239</v>
      </c>
      <c r="G88" s="7">
        <v>46239</v>
      </c>
      <c r="H88" s="9">
        <v>1</v>
      </c>
      <c r="I88" s="7"/>
      <c r="J88" s="7"/>
      <c r="K88" s="9"/>
      <c r="L88" s="2" t="s">
        <v>20</v>
      </c>
      <c r="M88" s="2" t="s">
        <v>40</v>
      </c>
      <c r="N88" s="2" t="s">
        <v>22</v>
      </c>
      <c r="O88" s="2" t="s">
        <v>45</v>
      </c>
      <c r="P88" s="2" t="s">
        <v>321</v>
      </c>
      <c r="Q88" s="2" t="s">
        <v>309</v>
      </c>
      <c r="R88" s="2"/>
      <c r="S88" s="12">
        <f>IF(OR(F88="",G88=""),0,MAX(0,MIN(1,(サマリ!$B$9-F88+1)/(G88-F88+1))))</f>
        <v>0</v>
      </c>
      <c r="T88" s="12">
        <f t="shared" si="10"/>
        <v>0</v>
      </c>
      <c r="U88" s="9">
        <f t="shared" si="11"/>
        <v>0</v>
      </c>
      <c r="V88" s="9">
        <f t="shared" si="12"/>
        <v>0</v>
      </c>
      <c r="W88" s="15" t="str">
        <f t="shared" si="13"/>
        <v/>
      </c>
      <c r="X88" s="2" t="str">
        <f t="shared" si="14"/>
        <v>未計測</v>
      </c>
    </row>
    <row r="89" spans="1:24" x14ac:dyDescent="0.4">
      <c r="A89" s="2" t="s">
        <v>326</v>
      </c>
      <c r="B89" s="2" t="s">
        <v>299</v>
      </c>
      <c r="C89" s="2" t="s">
        <v>322</v>
      </c>
      <c r="D89" s="2" t="s">
        <v>309</v>
      </c>
      <c r="E89" s="2" t="s">
        <v>327</v>
      </c>
      <c r="F89" s="7">
        <v>46239</v>
      </c>
      <c r="G89" s="7">
        <v>46239</v>
      </c>
      <c r="H89" s="9">
        <v>1</v>
      </c>
      <c r="I89" s="7"/>
      <c r="J89" s="7"/>
      <c r="K89" s="9"/>
      <c r="L89" s="2" t="s">
        <v>20</v>
      </c>
      <c r="M89" s="2" t="s">
        <v>76</v>
      </c>
      <c r="N89" s="2" t="s">
        <v>22</v>
      </c>
      <c r="O89" s="2" t="s">
        <v>45</v>
      </c>
      <c r="P89" s="2" t="s">
        <v>324</v>
      </c>
      <c r="Q89" s="2" t="s">
        <v>328</v>
      </c>
      <c r="R89" s="2"/>
      <c r="S89" s="12">
        <f>IF(OR(F89="",G89=""),0,MAX(0,MIN(1,(サマリ!$B$9-F89+1)/(G89-F89+1))))</f>
        <v>0</v>
      </c>
      <c r="T89" s="12">
        <f t="shared" si="10"/>
        <v>0</v>
      </c>
      <c r="U89" s="9">
        <f t="shared" si="11"/>
        <v>0</v>
      </c>
      <c r="V89" s="9">
        <f t="shared" si="12"/>
        <v>0</v>
      </c>
      <c r="W89" s="15" t="str">
        <f t="shared" si="13"/>
        <v/>
      </c>
      <c r="X89" s="2" t="str">
        <f t="shared" si="14"/>
        <v>未計測</v>
      </c>
    </row>
    <row r="90" spans="1:24" x14ac:dyDescent="0.4">
      <c r="A90" s="2" t="s">
        <v>329</v>
      </c>
      <c r="B90" s="2" t="s">
        <v>299</v>
      </c>
      <c r="C90" s="2" t="s">
        <v>119</v>
      </c>
      <c r="D90" s="2" t="s">
        <v>309</v>
      </c>
      <c r="E90" s="2" t="s">
        <v>330</v>
      </c>
      <c r="F90" s="7">
        <v>46239</v>
      </c>
      <c r="G90" s="7">
        <v>46239</v>
      </c>
      <c r="H90" s="9">
        <v>1.5</v>
      </c>
      <c r="I90" s="7"/>
      <c r="J90" s="7"/>
      <c r="K90" s="9"/>
      <c r="L90" s="2" t="s">
        <v>20</v>
      </c>
      <c r="M90" s="2" t="s">
        <v>51</v>
      </c>
      <c r="N90" s="2" t="s">
        <v>22</v>
      </c>
      <c r="O90" s="2" t="s">
        <v>23</v>
      </c>
      <c r="P90" s="2" t="s">
        <v>202</v>
      </c>
      <c r="Q90" s="2" t="s">
        <v>309</v>
      </c>
      <c r="R90" s="2"/>
      <c r="S90" s="12">
        <f>IF(OR(F90="",G90=""),0,MAX(0,MIN(1,(サマリ!$B$9-F90+1)/(G90-F90+1))))</f>
        <v>0</v>
      </c>
      <c r="T90" s="12">
        <f t="shared" si="10"/>
        <v>0</v>
      </c>
      <c r="U90" s="9">
        <f t="shared" si="11"/>
        <v>0</v>
      </c>
      <c r="V90" s="9">
        <f t="shared" si="12"/>
        <v>0</v>
      </c>
      <c r="W90" s="15" t="str">
        <f t="shared" si="13"/>
        <v/>
      </c>
      <c r="X90" s="2" t="str">
        <f t="shared" si="14"/>
        <v>未計測</v>
      </c>
    </row>
    <row r="91" spans="1:24" x14ac:dyDescent="0.4">
      <c r="A91" s="2" t="s">
        <v>331</v>
      </c>
      <c r="B91" s="2" t="s">
        <v>299</v>
      </c>
      <c r="C91" s="2" t="s">
        <v>119</v>
      </c>
      <c r="D91" s="2" t="s">
        <v>309</v>
      </c>
      <c r="E91" s="2" t="s">
        <v>332</v>
      </c>
      <c r="F91" s="7">
        <v>46239</v>
      </c>
      <c r="G91" s="7">
        <v>46239</v>
      </c>
      <c r="H91" s="9">
        <v>1.5</v>
      </c>
      <c r="I91" s="7"/>
      <c r="J91" s="7"/>
      <c r="K91" s="9"/>
      <c r="L91" s="2" t="s">
        <v>20</v>
      </c>
      <c r="M91" s="2" t="s">
        <v>51</v>
      </c>
      <c r="N91" s="2" t="s">
        <v>22</v>
      </c>
      <c r="O91" s="2" t="s">
        <v>23</v>
      </c>
      <c r="P91" s="2" t="s">
        <v>329</v>
      </c>
      <c r="Q91" s="2" t="s">
        <v>309</v>
      </c>
      <c r="R91" s="2"/>
      <c r="S91" s="12">
        <f>IF(OR(F91="",G91=""),0,MAX(0,MIN(1,(サマリ!$B$9-F91+1)/(G91-F91+1))))</f>
        <v>0</v>
      </c>
      <c r="T91" s="12">
        <f t="shared" si="10"/>
        <v>0</v>
      </c>
      <c r="U91" s="9">
        <f t="shared" si="11"/>
        <v>0</v>
      </c>
      <c r="V91" s="9">
        <f t="shared" si="12"/>
        <v>0</v>
      </c>
      <c r="W91" s="15" t="str">
        <f t="shared" si="13"/>
        <v/>
      </c>
      <c r="X91" s="2" t="str">
        <f t="shared" si="14"/>
        <v>未計測</v>
      </c>
    </row>
    <row r="92" spans="1:24" x14ac:dyDescent="0.4">
      <c r="A92" s="2" t="s">
        <v>333</v>
      </c>
      <c r="B92" s="2" t="s">
        <v>299</v>
      </c>
      <c r="C92" s="2" t="s">
        <v>119</v>
      </c>
      <c r="D92" s="2" t="s">
        <v>309</v>
      </c>
      <c r="E92" s="2" t="s">
        <v>334</v>
      </c>
      <c r="F92" s="7">
        <v>46239</v>
      </c>
      <c r="G92" s="7">
        <v>46239</v>
      </c>
      <c r="H92" s="9">
        <v>1</v>
      </c>
      <c r="I92" s="7"/>
      <c r="J92" s="7"/>
      <c r="K92" s="9"/>
      <c r="L92" s="2" t="s">
        <v>20</v>
      </c>
      <c r="M92" s="2" t="s">
        <v>40</v>
      </c>
      <c r="N92" s="2" t="s">
        <v>22</v>
      </c>
      <c r="O92" s="2" t="s">
        <v>23</v>
      </c>
      <c r="P92" s="2" t="s">
        <v>331</v>
      </c>
      <c r="Q92" s="2" t="s">
        <v>309</v>
      </c>
      <c r="R92" s="2"/>
      <c r="S92" s="12">
        <f>IF(OR(F92="",G92=""),0,MAX(0,MIN(1,(サマリ!$B$9-F92+1)/(G92-F92+1))))</f>
        <v>0</v>
      </c>
      <c r="T92" s="12">
        <f t="shared" si="10"/>
        <v>0</v>
      </c>
      <c r="U92" s="9">
        <f t="shared" si="11"/>
        <v>0</v>
      </c>
      <c r="V92" s="9">
        <f t="shared" si="12"/>
        <v>0</v>
      </c>
      <c r="W92" s="15" t="str">
        <f t="shared" si="13"/>
        <v/>
      </c>
      <c r="X92" s="2" t="str">
        <f t="shared" si="14"/>
        <v>未計測</v>
      </c>
    </row>
    <row r="93" spans="1:24" x14ac:dyDescent="0.4">
      <c r="A93" s="2" t="s">
        <v>335</v>
      </c>
      <c r="B93" s="2" t="s">
        <v>299</v>
      </c>
      <c r="C93" s="2" t="s">
        <v>289</v>
      </c>
      <c r="D93" s="2" t="s">
        <v>336</v>
      </c>
      <c r="E93" s="2" t="s">
        <v>337</v>
      </c>
      <c r="F93" s="7">
        <v>46240</v>
      </c>
      <c r="G93" s="7">
        <v>46240</v>
      </c>
      <c r="H93" s="9">
        <v>1.5</v>
      </c>
      <c r="I93" s="7"/>
      <c r="J93" s="7"/>
      <c r="K93" s="9"/>
      <c r="L93" s="2" t="s">
        <v>20</v>
      </c>
      <c r="M93" s="2" t="s">
        <v>292</v>
      </c>
      <c r="N93" s="2" t="s">
        <v>22</v>
      </c>
      <c r="O93" s="2" t="s">
        <v>23</v>
      </c>
      <c r="P93" s="2" t="s">
        <v>288</v>
      </c>
      <c r="Q93" s="2" t="s">
        <v>338</v>
      </c>
      <c r="R93" s="2"/>
      <c r="S93" s="12">
        <f>IF(OR(F93="",G93=""),0,MAX(0,MIN(1,(サマリ!$B$9-F93+1)/(G93-F93+1))))</f>
        <v>0</v>
      </c>
      <c r="T93" s="12">
        <f t="shared" si="10"/>
        <v>0</v>
      </c>
      <c r="U93" s="9">
        <f t="shared" si="11"/>
        <v>0</v>
      </c>
      <c r="V93" s="9">
        <f t="shared" si="12"/>
        <v>0</v>
      </c>
      <c r="W93" s="15" t="str">
        <f t="shared" si="13"/>
        <v/>
      </c>
      <c r="X93" s="2" t="str">
        <f t="shared" si="14"/>
        <v>未計測</v>
      </c>
    </row>
    <row r="94" spans="1:24" x14ac:dyDescent="0.4">
      <c r="A94" s="2" t="s">
        <v>339</v>
      </c>
      <c r="B94" s="2" t="s">
        <v>299</v>
      </c>
      <c r="C94" s="2" t="s">
        <v>289</v>
      </c>
      <c r="D94" s="2" t="s">
        <v>336</v>
      </c>
      <c r="E94" s="2" t="s">
        <v>340</v>
      </c>
      <c r="F94" s="7">
        <v>46240</v>
      </c>
      <c r="G94" s="7">
        <v>46240</v>
      </c>
      <c r="H94" s="9">
        <v>1.5</v>
      </c>
      <c r="I94" s="7"/>
      <c r="J94" s="7"/>
      <c r="K94" s="9"/>
      <c r="L94" s="2" t="s">
        <v>20</v>
      </c>
      <c r="M94" s="2" t="s">
        <v>40</v>
      </c>
      <c r="N94" s="2" t="s">
        <v>22</v>
      </c>
      <c r="O94" s="2" t="s">
        <v>23</v>
      </c>
      <c r="P94" s="2" t="s">
        <v>293</v>
      </c>
      <c r="Q94" s="2" t="s">
        <v>338</v>
      </c>
      <c r="R94" s="2"/>
      <c r="S94" s="12">
        <f>IF(OR(F94="",G94=""),0,MAX(0,MIN(1,(サマリ!$B$9-F94+1)/(G94-F94+1))))</f>
        <v>0</v>
      </c>
      <c r="T94" s="12">
        <f t="shared" si="10"/>
        <v>0</v>
      </c>
      <c r="U94" s="9">
        <f t="shared" si="11"/>
        <v>0</v>
      </c>
      <c r="V94" s="9">
        <f t="shared" si="12"/>
        <v>0</v>
      </c>
      <c r="W94" s="15" t="str">
        <f t="shared" si="13"/>
        <v/>
      </c>
      <c r="X94" s="2" t="str">
        <f t="shared" si="14"/>
        <v>未計測</v>
      </c>
    </row>
    <row r="95" spans="1:24" x14ac:dyDescent="0.4">
      <c r="A95" s="2" t="s">
        <v>341</v>
      </c>
      <c r="B95" s="2" t="s">
        <v>299</v>
      </c>
      <c r="C95" s="2" t="s">
        <v>289</v>
      </c>
      <c r="D95" s="2" t="s">
        <v>336</v>
      </c>
      <c r="E95" s="2" t="s">
        <v>342</v>
      </c>
      <c r="F95" s="7">
        <v>46240</v>
      </c>
      <c r="G95" s="7">
        <v>46240</v>
      </c>
      <c r="H95" s="9">
        <v>1</v>
      </c>
      <c r="I95" s="7"/>
      <c r="J95" s="7"/>
      <c r="K95" s="9"/>
      <c r="L95" s="2" t="s">
        <v>20</v>
      </c>
      <c r="M95" s="2" t="s">
        <v>297</v>
      </c>
      <c r="N95" s="2" t="s">
        <v>22</v>
      </c>
      <c r="O95" s="2" t="s">
        <v>45</v>
      </c>
      <c r="P95" s="2" t="s">
        <v>295</v>
      </c>
      <c r="Q95" s="2" t="s">
        <v>338</v>
      </c>
      <c r="R95" s="2"/>
      <c r="S95" s="12">
        <f>IF(OR(F95="",G95=""),0,MAX(0,MIN(1,(サマリ!$B$9-F95+1)/(G95-F95+1))))</f>
        <v>0</v>
      </c>
      <c r="T95" s="12">
        <f t="shared" si="10"/>
        <v>0</v>
      </c>
      <c r="U95" s="9">
        <f t="shared" si="11"/>
        <v>0</v>
      </c>
      <c r="V95" s="9">
        <f t="shared" si="12"/>
        <v>0</v>
      </c>
      <c r="W95" s="15" t="str">
        <f t="shared" si="13"/>
        <v/>
      </c>
      <c r="X95" s="2" t="str">
        <f t="shared" si="14"/>
        <v>未計測</v>
      </c>
    </row>
    <row r="96" spans="1:24" x14ac:dyDescent="0.4">
      <c r="A96" s="2" t="s">
        <v>343</v>
      </c>
      <c r="B96" s="2" t="s">
        <v>299</v>
      </c>
      <c r="C96" s="2" t="s">
        <v>344</v>
      </c>
      <c r="D96" s="2" t="s">
        <v>345</v>
      </c>
      <c r="E96" s="2" t="s">
        <v>346</v>
      </c>
      <c r="F96" s="7">
        <v>46240</v>
      </c>
      <c r="G96" s="7">
        <v>46240</v>
      </c>
      <c r="H96" s="9">
        <v>1</v>
      </c>
      <c r="I96" s="7"/>
      <c r="J96" s="7"/>
      <c r="K96" s="9"/>
      <c r="L96" s="2" t="s">
        <v>20</v>
      </c>
      <c r="M96" s="2" t="s">
        <v>58</v>
      </c>
      <c r="N96" s="2" t="s">
        <v>22</v>
      </c>
      <c r="O96" s="2" t="s">
        <v>23</v>
      </c>
      <c r="P96" s="2" t="s">
        <v>305</v>
      </c>
      <c r="Q96" s="2" t="s">
        <v>344</v>
      </c>
      <c r="R96" s="2"/>
      <c r="S96" s="12">
        <f>IF(OR(F96="",G96=""),0,MAX(0,MIN(1,(サマリ!$B$9-F96+1)/(G96-F96+1))))</f>
        <v>0</v>
      </c>
      <c r="T96" s="12">
        <f t="shared" si="10"/>
        <v>0</v>
      </c>
      <c r="U96" s="9">
        <f t="shared" si="11"/>
        <v>0</v>
      </c>
      <c r="V96" s="9">
        <f t="shared" si="12"/>
        <v>0</v>
      </c>
      <c r="W96" s="15" t="str">
        <f t="shared" si="13"/>
        <v/>
      </c>
      <c r="X96" s="2" t="str">
        <f t="shared" si="14"/>
        <v>未計測</v>
      </c>
    </row>
    <row r="97" spans="1:24" x14ac:dyDescent="0.4">
      <c r="A97" s="2" t="s">
        <v>347</v>
      </c>
      <c r="B97" s="2" t="s">
        <v>299</v>
      </c>
      <c r="C97" s="2" t="s">
        <v>344</v>
      </c>
      <c r="D97" s="2" t="s">
        <v>345</v>
      </c>
      <c r="E97" s="2" t="s">
        <v>348</v>
      </c>
      <c r="F97" s="7">
        <v>46240</v>
      </c>
      <c r="G97" s="7">
        <v>46240</v>
      </c>
      <c r="H97" s="9">
        <v>1</v>
      </c>
      <c r="I97" s="7"/>
      <c r="J97" s="7"/>
      <c r="K97" s="9"/>
      <c r="L97" s="2" t="s">
        <v>20</v>
      </c>
      <c r="M97" s="2" t="s">
        <v>58</v>
      </c>
      <c r="N97" s="2" t="s">
        <v>22</v>
      </c>
      <c r="O97" s="2" t="s">
        <v>23</v>
      </c>
      <c r="P97" s="2" t="s">
        <v>343</v>
      </c>
      <c r="Q97" s="2" t="s">
        <v>344</v>
      </c>
      <c r="R97" s="2"/>
      <c r="S97" s="12">
        <f>IF(OR(F97="",G97=""),0,MAX(0,MIN(1,(サマリ!$B$9-F97+1)/(G97-F97+1))))</f>
        <v>0</v>
      </c>
      <c r="T97" s="12">
        <f t="shared" si="10"/>
        <v>0</v>
      </c>
      <c r="U97" s="9">
        <f t="shared" si="11"/>
        <v>0</v>
      </c>
      <c r="V97" s="9">
        <f t="shared" si="12"/>
        <v>0</v>
      </c>
      <c r="W97" s="15" t="str">
        <f t="shared" si="13"/>
        <v/>
      </c>
      <c r="X97" s="2" t="str">
        <f t="shared" si="14"/>
        <v>未計測</v>
      </c>
    </row>
    <row r="98" spans="1:24" x14ac:dyDescent="0.4">
      <c r="A98" s="2" t="s">
        <v>349</v>
      </c>
      <c r="B98" s="2" t="s">
        <v>299</v>
      </c>
      <c r="C98" s="2" t="s">
        <v>344</v>
      </c>
      <c r="D98" s="2" t="s">
        <v>345</v>
      </c>
      <c r="E98" s="2" t="s">
        <v>350</v>
      </c>
      <c r="F98" s="7">
        <v>46240</v>
      </c>
      <c r="G98" s="7">
        <v>46240</v>
      </c>
      <c r="H98" s="9">
        <v>1</v>
      </c>
      <c r="I98" s="7"/>
      <c r="J98" s="7"/>
      <c r="K98" s="9"/>
      <c r="L98" s="2" t="s">
        <v>20</v>
      </c>
      <c r="M98" s="2" t="s">
        <v>58</v>
      </c>
      <c r="N98" s="2" t="s">
        <v>22</v>
      </c>
      <c r="O98" s="2" t="s">
        <v>45</v>
      </c>
      <c r="P98" s="2" t="s">
        <v>347</v>
      </c>
      <c r="Q98" s="2" t="s">
        <v>344</v>
      </c>
      <c r="R98" s="2"/>
      <c r="S98" s="12">
        <f>IF(OR(F98="",G98=""),0,MAX(0,MIN(1,(サマリ!$B$9-F98+1)/(G98-F98+1))))</f>
        <v>0</v>
      </c>
      <c r="T98" s="12">
        <f t="shared" ref="T98:T129" si="15">IF(N98="完了",1,IF(N98="進行中",0.5,IF(N98="保留",0,0)))</f>
        <v>0</v>
      </c>
      <c r="U98" s="9">
        <f t="shared" ref="U98:U129" si="16">H98*S98</f>
        <v>0</v>
      </c>
      <c r="V98" s="9">
        <f t="shared" ref="V98:V129" si="17">H98*T98</f>
        <v>0</v>
      </c>
      <c r="W98" s="15" t="str">
        <f t="shared" ref="W98:W129" si="18">IF(U98=0,"",V98/U98)</f>
        <v/>
      </c>
      <c r="X98" s="2" t="str">
        <f t="shared" ref="X98:X129" si="19">IF(W98="","未計測",IF(W98&gt;=1,"予定通り/前倒し",IF(W98&gt;=0.9,"要注意","遅延")))</f>
        <v>未計測</v>
      </c>
    </row>
    <row r="99" spans="1:24" x14ac:dyDescent="0.4">
      <c r="A99" s="2" t="s">
        <v>351</v>
      </c>
      <c r="B99" s="2" t="s">
        <v>352</v>
      </c>
      <c r="C99" s="2" t="s">
        <v>353</v>
      </c>
      <c r="D99" s="2" t="s">
        <v>354</v>
      </c>
      <c r="E99" s="2" t="s">
        <v>355</v>
      </c>
      <c r="F99" s="7">
        <v>46240</v>
      </c>
      <c r="G99" s="7">
        <v>46241</v>
      </c>
      <c r="H99" s="9">
        <v>1.5</v>
      </c>
      <c r="I99" s="7"/>
      <c r="J99" s="7"/>
      <c r="K99" s="9"/>
      <c r="L99" s="2" t="s">
        <v>20</v>
      </c>
      <c r="M99" s="2" t="s">
        <v>36</v>
      </c>
      <c r="N99" s="2" t="s">
        <v>22</v>
      </c>
      <c r="O99" s="2" t="s">
        <v>23</v>
      </c>
      <c r="P99" s="2" t="s">
        <v>335</v>
      </c>
      <c r="Q99" s="2" t="s">
        <v>354</v>
      </c>
      <c r="R99" s="2"/>
      <c r="S99" s="12">
        <f>IF(OR(F99="",G99=""),0,MAX(0,MIN(1,(サマリ!$B$9-F99+1)/(G99-F99+1))))</f>
        <v>0</v>
      </c>
      <c r="T99" s="12">
        <f t="shared" si="15"/>
        <v>0</v>
      </c>
      <c r="U99" s="9">
        <f t="shared" si="16"/>
        <v>0</v>
      </c>
      <c r="V99" s="9">
        <f t="shared" si="17"/>
        <v>0</v>
      </c>
      <c r="W99" s="15" t="str">
        <f t="shared" si="18"/>
        <v/>
      </c>
      <c r="X99" s="2" t="str">
        <f t="shared" si="19"/>
        <v>未計測</v>
      </c>
    </row>
    <row r="100" spans="1:24" x14ac:dyDescent="0.4">
      <c r="A100" s="2" t="s">
        <v>356</v>
      </c>
      <c r="B100" s="2" t="s">
        <v>352</v>
      </c>
      <c r="C100" s="2" t="s">
        <v>353</v>
      </c>
      <c r="D100" s="2" t="s">
        <v>354</v>
      </c>
      <c r="E100" s="2" t="s">
        <v>357</v>
      </c>
      <c r="F100" s="7">
        <v>46241</v>
      </c>
      <c r="G100" s="7">
        <v>46241</v>
      </c>
      <c r="H100" s="9">
        <v>1</v>
      </c>
      <c r="I100" s="7"/>
      <c r="J100" s="7"/>
      <c r="K100" s="9"/>
      <c r="L100" s="2" t="s">
        <v>20</v>
      </c>
      <c r="M100" s="2" t="s">
        <v>36</v>
      </c>
      <c r="N100" s="2" t="s">
        <v>22</v>
      </c>
      <c r="O100" s="2" t="s">
        <v>23</v>
      </c>
      <c r="P100" s="2" t="s">
        <v>351</v>
      </c>
      <c r="Q100" s="2" t="s">
        <v>354</v>
      </c>
      <c r="R100" s="2"/>
      <c r="S100" s="12">
        <f>IF(OR(F100="",G100=""),0,MAX(0,MIN(1,(サマリ!$B$9-F100+1)/(G100-F100+1))))</f>
        <v>0</v>
      </c>
      <c r="T100" s="12">
        <f t="shared" si="15"/>
        <v>0</v>
      </c>
      <c r="U100" s="9">
        <f t="shared" si="16"/>
        <v>0</v>
      </c>
      <c r="V100" s="9">
        <f t="shared" si="17"/>
        <v>0</v>
      </c>
      <c r="W100" s="15" t="str">
        <f t="shared" si="18"/>
        <v/>
      </c>
      <c r="X100" s="2" t="str">
        <f t="shared" si="19"/>
        <v>未計測</v>
      </c>
    </row>
    <row r="101" spans="1:24" x14ac:dyDescent="0.4">
      <c r="A101" s="2" t="s">
        <v>358</v>
      </c>
      <c r="B101" s="2" t="s">
        <v>352</v>
      </c>
      <c r="C101" s="2" t="s">
        <v>353</v>
      </c>
      <c r="D101" s="2" t="s">
        <v>354</v>
      </c>
      <c r="E101" s="2" t="s">
        <v>359</v>
      </c>
      <c r="F101" s="7">
        <v>46241</v>
      </c>
      <c r="G101" s="7">
        <v>46241</v>
      </c>
      <c r="H101" s="9">
        <v>1.5</v>
      </c>
      <c r="I101" s="7"/>
      <c r="J101" s="7"/>
      <c r="K101" s="9"/>
      <c r="L101" s="2" t="s">
        <v>20</v>
      </c>
      <c r="M101" s="2" t="s">
        <v>360</v>
      </c>
      <c r="N101" s="2" t="s">
        <v>22</v>
      </c>
      <c r="O101" s="2" t="s">
        <v>273</v>
      </c>
      <c r="P101" s="2" t="s">
        <v>356</v>
      </c>
      <c r="Q101" s="2" t="s">
        <v>328</v>
      </c>
      <c r="R101" s="2"/>
      <c r="S101" s="12">
        <f>IF(OR(F101="",G101=""),0,MAX(0,MIN(1,(サマリ!$B$9-F101+1)/(G101-F101+1))))</f>
        <v>0</v>
      </c>
      <c r="T101" s="12">
        <f t="shared" si="15"/>
        <v>0</v>
      </c>
      <c r="U101" s="9">
        <f t="shared" si="16"/>
        <v>0</v>
      </c>
      <c r="V101" s="9">
        <f t="shared" si="17"/>
        <v>0</v>
      </c>
      <c r="W101" s="15" t="str">
        <f t="shared" si="18"/>
        <v/>
      </c>
      <c r="X101" s="2" t="str">
        <f t="shared" si="19"/>
        <v>未計測</v>
      </c>
    </row>
    <row r="102" spans="1:24" x14ac:dyDescent="0.4">
      <c r="A102" s="2" t="s">
        <v>361</v>
      </c>
      <c r="B102" s="2" t="s">
        <v>352</v>
      </c>
      <c r="C102" s="2" t="s">
        <v>362</v>
      </c>
      <c r="D102" s="2" t="s">
        <v>354</v>
      </c>
      <c r="E102" s="2" t="s">
        <v>363</v>
      </c>
      <c r="F102" s="7">
        <v>46241</v>
      </c>
      <c r="G102" s="7">
        <v>46241</v>
      </c>
      <c r="H102" s="9">
        <v>1.5</v>
      </c>
      <c r="I102" s="7"/>
      <c r="J102" s="7"/>
      <c r="K102" s="9"/>
      <c r="L102" s="2" t="s">
        <v>20</v>
      </c>
      <c r="M102" s="2" t="s">
        <v>40</v>
      </c>
      <c r="N102" s="2" t="s">
        <v>22</v>
      </c>
      <c r="O102" s="2" t="s">
        <v>23</v>
      </c>
      <c r="P102" s="2" t="s">
        <v>339</v>
      </c>
      <c r="Q102" s="2" t="s">
        <v>354</v>
      </c>
      <c r="R102" s="2"/>
      <c r="S102" s="12">
        <f>IF(OR(F102="",G102=""),0,MAX(0,MIN(1,(サマリ!$B$9-F102+1)/(G102-F102+1))))</f>
        <v>0</v>
      </c>
      <c r="T102" s="12">
        <f t="shared" si="15"/>
        <v>0</v>
      </c>
      <c r="U102" s="9">
        <f t="shared" si="16"/>
        <v>0</v>
      </c>
      <c r="V102" s="9">
        <f t="shared" si="17"/>
        <v>0</v>
      </c>
      <c r="W102" s="15" t="str">
        <f t="shared" si="18"/>
        <v/>
      </c>
      <c r="X102" s="2" t="str">
        <f t="shared" si="19"/>
        <v>未計測</v>
      </c>
    </row>
    <row r="103" spans="1:24" x14ac:dyDescent="0.4">
      <c r="A103" s="2" t="s">
        <v>364</v>
      </c>
      <c r="B103" s="2" t="s">
        <v>352</v>
      </c>
      <c r="C103" s="2" t="s">
        <v>362</v>
      </c>
      <c r="D103" s="2" t="s">
        <v>354</v>
      </c>
      <c r="E103" s="2" t="s">
        <v>365</v>
      </c>
      <c r="F103" s="7">
        <v>46241</v>
      </c>
      <c r="G103" s="7">
        <v>46241</v>
      </c>
      <c r="H103" s="9">
        <v>1</v>
      </c>
      <c r="I103" s="7"/>
      <c r="J103" s="7"/>
      <c r="K103" s="9"/>
      <c r="L103" s="2" t="s">
        <v>20</v>
      </c>
      <c r="M103" s="2" t="s">
        <v>40</v>
      </c>
      <c r="N103" s="2" t="s">
        <v>22</v>
      </c>
      <c r="O103" s="2" t="s">
        <v>23</v>
      </c>
      <c r="P103" s="2" t="s">
        <v>361</v>
      </c>
      <c r="Q103" s="2" t="s">
        <v>354</v>
      </c>
      <c r="R103" s="2"/>
      <c r="S103" s="12">
        <f>IF(OR(F103="",G103=""),0,MAX(0,MIN(1,(サマリ!$B$9-F103+1)/(G103-F103+1))))</f>
        <v>0</v>
      </c>
      <c r="T103" s="12">
        <f t="shared" si="15"/>
        <v>0</v>
      </c>
      <c r="U103" s="9">
        <f t="shared" si="16"/>
        <v>0</v>
      </c>
      <c r="V103" s="9">
        <f t="shared" si="17"/>
        <v>0</v>
      </c>
      <c r="W103" s="15" t="str">
        <f t="shared" si="18"/>
        <v/>
      </c>
      <c r="X103" s="2" t="str">
        <f t="shared" si="19"/>
        <v>未計測</v>
      </c>
    </row>
    <row r="104" spans="1:24" x14ac:dyDescent="0.4">
      <c r="A104" s="2" t="s">
        <v>366</v>
      </c>
      <c r="B104" s="2" t="s">
        <v>352</v>
      </c>
      <c r="C104" s="2" t="s">
        <v>362</v>
      </c>
      <c r="D104" s="2" t="s">
        <v>354</v>
      </c>
      <c r="E104" s="2" t="s">
        <v>367</v>
      </c>
      <c r="F104" s="7">
        <v>46241</v>
      </c>
      <c r="G104" s="7">
        <v>46241</v>
      </c>
      <c r="H104" s="9">
        <v>1.5</v>
      </c>
      <c r="I104" s="7"/>
      <c r="J104" s="7"/>
      <c r="K104" s="9"/>
      <c r="L104" s="2" t="s">
        <v>20</v>
      </c>
      <c r="M104" s="2" t="s">
        <v>40</v>
      </c>
      <c r="N104" s="2" t="s">
        <v>22</v>
      </c>
      <c r="O104" s="2" t="s">
        <v>45</v>
      </c>
      <c r="P104" s="2" t="s">
        <v>364</v>
      </c>
      <c r="Q104" s="2" t="s">
        <v>354</v>
      </c>
      <c r="R104" s="2"/>
      <c r="S104" s="12">
        <f>IF(OR(F104="",G104=""),0,MAX(0,MIN(1,(サマリ!$B$9-F104+1)/(G104-F104+1))))</f>
        <v>0</v>
      </c>
      <c r="T104" s="12">
        <f t="shared" si="15"/>
        <v>0</v>
      </c>
      <c r="U104" s="9">
        <f t="shared" si="16"/>
        <v>0</v>
      </c>
      <c r="V104" s="9">
        <f t="shared" si="17"/>
        <v>0</v>
      </c>
      <c r="W104" s="15" t="str">
        <f t="shared" si="18"/>
        <v/>
      </c>
      <c r="X104" s="2" t="str">
        <f t="shared" si="19"/>
        <v>未計測</v>
      </c>
    </row>
    <row r="105" spans="1:24" x14ac:dyDescent="0.4">
      <c r="A105" s="2" t="s">
        <v>368</v>
      </c>
      <c r="B105" s="2" t="s">
        <v>352</v>
      </c>
      <c r="C105" s="2" t="s">
        <v>369</v>
      </c>
      <c r="D105" s="2" t="s">
        <v>354</v>
      </c>
      <c r="E105" s="2" t="s">
        <v>370</v>
      </c>
      <c r="F105" s="7">
        <v>46242</v>
      </c>
      <c r="G105" s="7">
        <v>46242</v>
      </c>
      <c r="H105" s="9">
        <v>1.5</v>
      </c>
      <c r="I105" s="7"/>
      <c r="J105" s="7"/>
      <c r="K105" s="9"/>
      <c r="L105" s="2" t="s">
        <v>20</v>
      </c>
      <c r="M105" s="2" t="s">
        <v>292</v>
      </c>
      <c r="N105" s="2" t="s">
        <v>22</v>
      </c>
      <c r="O105" s="2" t="s">
        <v>45</v>
      </c>
      <c r="P105" s="2" t="s">
        <v>366</v>
      </c>
      <c r="Q105" s="2" t="s">
        <v>354</v>
      </c>
      <c r="R105" s="2"/>
      <c r="S105" s="12">
        <f>IF(OR(F105="",G105=""),0,MAX(0,MIN(1,(サマリ!$B$9-F105+1)/(G105-F105+1))))</f>
        <v>0</v>
      </c>
      <c r="T105" s="12">
        <f t="shared" si="15"/>
        <v>0</v>
      </c>
      <c r="U105" s="9">
        <f t="shared" si="16"/>
        <v>0</v>
      </c>
      <c r="V105" s="9">
        <f t="shared" si="17"/>
        <v>0</v>
      </c>
      <c r="W105" s="15" t="str">
        <f t="shared" si="18"/>
        <v/>
      </c>
      <c r="X105" s="2" t="str">
        <f t="shared" si="19"/>
        <v>未計測</v>
      </c>
    </row>
    <row r="106" spans="1:24" x14ac:dyDescent="0.4">
      <c r="A106" s="2" t="s">
        <v>371</v>
      </c>
      <c r="B106" s="2" t="s">
        <v>352</v>
      </c>
      <c r="C106" s="2" t="s">
        <v>369</v>
      </c>
      <c r="D106" s="2" t="s">
        <v>354</v>
      </c>
      <c r="E106" s="2" t="s">
        <v>372</v>
      </c>
      <c r="F106" s="7">
        <v>46242</v>
      </c>
      <c r="G106" s="7">
        <v>46242</v>
      </c>
      <c r="H106" s="9">
        <v>1</v>
      </c>
      <c r="I106" s="7"/>
      <c r="J106" s="7"/>
      <c r="K106" s="9"/>
      <c r="L106" s="2" t="s">
        <v>20</v>
      </c>
      <c r="M106" s="2" t="s">
        <v>30</v>
      </c>
      <c r="N106" s="2" t="s">
        <v>22</v>
      </c>
      <c r="O106" s="2" t="s">
        <v>45</v>
      </c>
      <c r="P106" s="2" t="s">
        <v>368</v>
      </c>
      <c r="Q106" s="2" t="s">
        <v>354</v>
      </c>
      <c r="R106" s="2"/>
      <c r="S106" s="12">
        <f>IF(OR(F106="",G106=""),0,MAX(0,MIN(1,(サマリ!$B$9-F106+1)/(G106-F106+1))))</f>
        <v>0</v>
      </c>
      <c r="T106" s="12">
        <f t="shared" si="15"/>
        <v>0</v>
      </c>
      <c r="U106" s="9">
        <f t="shared" si="16"/>
        <v>0</v>
      </c>
      <c r="V106" s="9">
        <f t="shared" si="17"/>
        <v>0</v>
      </c>
      <c r="W106" s="15" t="str">
        <f t="shared" si="18"/>
        <v/>
      </c>
      <c r="X106" s="2" t="str">
        <f t="shared" si="19"/>
        <v>未計測</v>
      </c>
    </row>
    <row r="107" spans="1:24" x14ac:dyDescent="0.4">
      <c r="A107" s="2" t="s">
        <v>373</v>
      </c>
      <c r="B107" s="2" t="s">
        <v>352</v>
      </c>
      <c r="C107" s="2" t="s">
        <v>369</v>
      </c>
      <c r="D107" s="2" t="s">
        <v>354</v>
      </c>
      <c r="E107" s="2" t="s">
        <v>374</v>
      </c>
      <c r="F107" s="7">
        <v>46242</v>
      </c>
      <c r="G107" s="7">
        <v>46242</v>
      </c>
      <c r="H107" s="9">
        <v>1.5</v>
      </c>
      <c r="I107" s="7"/>
      <c r="J107" s="7"/>
      <c r="K107" s="9"/>
      <c r="L107" s="2" t="s">
        <v>20</v>
      </c>
      <c r="M107" s="2" t="s">
        <v>375</v>
      </c>
      <c r="N107" s="2" t="s">
        <v>22</v>
      </c>
      <c r="O107" s="2" t="s">
        <v>45</v>
      </c>
      <c r="P107" s="2" t="s">
        <v>371</v>
      </c>
      <c r="Q107" s="2" t="s">
        <v>354</v>
      </c>
      <c r="R107" s="2"/>
      <c r="S107" s="12">
        <f>IF(OR(F107="",G107=""),0,MAX(0,MIN(1,(サマリ!$B$9-F107+1)/(G107-F107+1))))</f>
        <v>0</v>
      </c>
      <c r="T107" s="12">
        <f t="shared" si="15"/>
        <v>0</v>
      </c>
      <c r="U107" s="9">
        <f t="shared" si="16"/>
        <v>0</v>
      </c>
      <c r="V107" s="9">
        <f t="shared" si="17"/>
        <v>0</v>
      </c>
      <c r="W107" s="15" t="str">
        <f t="shared" si="18"/>
        <v/>
      </c>
      <c r="X107" s="2" t="str">
        <f t="shared" si="19"/>
        <v>未計測</v>
      </c>
    </row>
    <row r="108" spans="1:24" x14ac:dyDescent="0.4">
      <c r="A108" s="2" t="s">
        <v>376</v>
      </c>
      <c r="B108" s="2" t="s">
        <v>352</v>
      </c>
      <c r="C108" s="2" t="s">
        <v>377</v>
      </c>
      <c r="D108" s="2" t="s">
        <v>378</v>
      </c>
      <c r="E108" s="2" t="s">
        <v>379</v>
      </c>
      <c r="F108" s="7">
        <v>46242</v>
      </c>
      <c r="G108" s="7">
        <v>46242</v>
      </c>
      <c r="H108" s="9">
        <v>1</v>
      </c>
      <c r="I108" s="7"/>
      <c r="J108" s="7"/>
      <c r="K108" s="9"/>
      <c r="L108" s="2" t="s">
        <v>20</v>
      </c>
      <c r="M108" s="2" t="s">
        <v>380</v>
      </c>
      <c r="N108" s="2" t="s">
        <v>22</v>
      </c>
      <c r="O108" s="2" t="s">
        <v>23</v>
      </c>
      <c r="P108" s="2" t="s">
        <v>373</v>
      </c>
      <c r="Q108" s="2" t="s">
        <v>381</v>
      </c>
      <c r="R108" s="2"/>
      <c r="S108" s="12">
        <f>IF(OR(F108="",G108=""),0,MAX(0,MIN(1,(サマリ!$B$9-F108+1)/(G108-F108+1))))</f>
        <v>0</v>
      </c>
      <c r="T108" s="12">
        <f t="shared" si="15"/>
        <v>0</v>
      </c>
      <c r="U108" s="9">
        <f t="shared" si="16"/>
        <v>0</v>
      </c>
      <c r="V108" s="9">
        <f t="shared" si="17"/>
        <v>0</v>
      </c>
      <c r="W108" s="15" t="str">
        <f t="shared" si="18"/>
        <v/>
      </c>
      <c r="X108" s="2" t="str">
        <f t="shared" si="19"/>
        <v>未計測</v>
      </c>
    </row>
    <row r="109" spans="1:24" x14ac:dyDescent="0.4">
      <c r="A109" s="2" t="s">
        <v>382</v>
      </c>
      <c r="B109" s="2" t="s">
        <v>352</v>
      </c>
      <c r="C109" s="2" t="s">
        <v>377</v>
      </c>
      <c r="D109" s="2" t="s">
        <v>378</v>
      </c>
      <c r="E109" s="2" t="s">
        <v>383</v>
      </c>
      <c r="F109" s="7">
        <v>46242</v>
      </c>
      <c r="G109" s="7">
        <v>46243</v>
      </c>
      <c r="H109" s="9">
        <v>3</v>
      </c>
      <c r="I109" s="7"/>
      <c r="J109" s="7"/>
      <c r="K109" s="9"/>
      <c r="L109" s="2" t="s">
        <v>20</v>
      </c>
      <c r="M109" s="2" t="s">
        <v>380</v>
      </c>
      <c r="N109" s="2" t="s">
        <v>22</v>
      </c>
      <c r="O109" s="2" t="s">
        <v>23</v>
      </c>
      <c r="P109" s="2" t="s">
        <v>376</v>
      </c>
      <c r="Q109" s="2" t="s">
        <v>378</v>
      </c>
      <c r="R109" s="2"/>
      <c r="S109" s="12">
        <f>IF(OR(F109="",G109=""),0,MAX(0,MIN(1,(サマリ!$B$9-F109+1)/(G109-F109+1))))</f>
        <v>0</v>
      </c>
      <c r="T109" s="12">
        <f t="shared" si="15"/>
        <v>0</v>
      </c>
      <c r="U109" s="9">
        <f t="shared" si="16"/>
        <v>0</v>
      </c>
      <c r="V109" s="9">
        <f t="shared" si="17"/>
        <v>0</v>
      </c>
      <c r="W109" s="15" t="str">
        <f t="shared" si="18"/>
        <v/>
      </c>
      <c r="X109" s="2" t="str">
        <f t="shared" si="19"/>
        <v>未計測</v>
      </c>
    </row>
    <row r="110" spans="1:24" x14ac:dyDescent="0.4">
      <c r="A110" s="2" t="s">
        <v>384</v>
      </c>
      <c r="B110" s="2" t="s">
        <v>352</v>
      </c>
      <c r="C110" s="2" t="s">
        <v>377</v>
      </c>
      <c r="D110" s="2" t="s">
        <v>378</v>
      </c>
      <c r="E110" s="2" t="s">
        <v>385</v>
      </c>
      <c r="F110" s="7">
        <v>46243</v>
      </c>
      <c r="G110" s="7">
        <v>46243</v>
      </c>
      <c r="H110" s="9">
        <v>2</v>
      </c>
      <c r="I110" s="7"/>
      <c r="J110" s="7"/>
      <c r="K110" s="9"/>
      <c r="L110" s="2" t="s">
        <v>20</v>
      </c>
      <c r="M110" s="2" t="s">
        <v>380</v>
      </c>
      <c r="N110" s="2" t="s">
        <v>22</v>
      </c>
      <c r="O110" s="2" t="s">
        <v>23</v>
      </c>
      <c r="P110" s="2" t="s">
        <v>382</v>
      </c>
      <c r="Q110" s="2" t="s">
        <v>386</v>
      </c>
      <c r="R110" s="2"/>
      <c r="S110" s="12">
        <f>IF(OR(F110="",G110=""),0,MAX(0,MIN(1,(サマリ!$B$9-F110+1)/(G110-F110+1))))</f>
        <v>0</v>
      </c>
      <c r="T110" s="12">
        <f t="shared" si="15"/>
        <v>0</v>
      </c>
      <c r="U110" s="9">
        <f t="shared" si="16"/>
        <v>0</v>
      </c>
      <c r="V110" s="9">
        <f t="shared" si="17"/>
        <v>0</v>
      </c>
      <c r="W110" s="15" t="str">
        <f t="shared" si="18"/>
        <v/>
      </c>
      <c r="X110" s="2" t="str">
        <f t="shared" si="19"/>
        <v>未計測</v>
      </c>
    </row>
    <row r="111" spans="1:24" x14ac:dyDescent="0.4">
      <c r="A111" s="2" t="s">
        <v>387</v>
      </c>
      <c r="B111" s="2" t="s">
        <v>388</v>
      </c>
      <c r="C111" s="2" t="s">
        <v>389</v>
      </c>
      <c r="D111" s="2" t="s">
        <v>390</v>
      </c>
      <c r="E111" s="2" t="s">
        <v>391</v>
      </c>
      <c r="F111" s="7">
        <v>46240</v>
      </c>
      <c r="G111" s="7">
        <v>46241</v>
      </c>
      <c r="H111" s="9">
        <v>1.5</v>
      </c>
      <c r="I111" s="7"/>
      <c r="J111" s="7"/>
      <c r="K111" s="9"/>
      <c r="L111" s="2" t="s">
        <v>20</v>
      </c>
      <c r="M111" s="2" t="s">
        <v>392</v>
      </c>
      <c r="N111" s="2" t="s">
        <v>22</v>
      </c>
      <c r="O111" s="2" t="s">
        <v>23</v>
      </c>
      <c r="P111" s="2" t="s">
        <v>38</v>
      </c>
      <c r="Q111" s="2" t="s">
        <v>393</v>
      </c>
      <c r="R111" s="2"/>
      <c r="S111" s="12">
        <f>IF(OR(F111="",G111=""),0,MAX(0,MIN(1,(サマリ!$B$9-F111+1)/(G111-F111+1))))</f>
        <v>0</v>
      </c>
      <c r="T111" s="12">
        <f t="shared" si="15"/>
        <v>0</v>
      </c>
      <c r="U111" s="9">
        <f t="shared" si="16"/>
        <v>0</v>
      </c>
      <c r="V111" s="9">
        <f t="shared" si="17"/>
        <v>0</v>
      </c>
      <c r="W111" s="15" t="str">
        <f t="shared" si="18"/>
        <v/>
      </c>
      <c r="X111" s="2" t="str">
        <f t="shared" si="19"/>
        <v>未計測</v>
      </c>
    </row>
    <row r="112" spans="1:24" x14ac:dyDescent="0.4">
      <c r="A112" s="2" t="s">
        <v>394</v>
      </c>
      <c r="B112" s="2" t="s">
        <v>388</v>
      </c>
      <c r="C112" s="2" t="s">
        <v>389</v>
      </c>
      <c r="D112" s="2" t="s">
        <v>390</v>
      </c>
      <c r="E112" s="2" t="s">
        <v>395</v>
      </c>
      <c r="F112" s="7">
        <v>46241</v>
      </c>
      <c r="G112" s="7">
        <v>46241</v>
      </c>
      <c r="H112" s="9">
        <v>1.5</v>
      </c>
      <c r="I112" s="7"/>
      <c r="J112" s="7"/>
      <c r="K112" s="9"/>
      <c r="L112" s="2" t="s">
        <v>20</v>
      </c>
      <c r="M112" s="2" t="s">
        <v>71</v>
      </c>
      <c r="N112" s="2" t="s">
        <v>22</v>
      </c>
      <c r="O112" s="2" t="s">
        <v>23</v>
      </c>
      <c r="P112" s="2" t="s">
        <v>387</v>
      </c>
      <c r="Q112" s="2" t="s">
        <v>390</v>
      </c>
      <c r="R112" s="2"/>
      <c r="S112" s="12">
        <f>IF(OR(F112="",G112=""),0,MAX(0,MIN(1,(サマリ!$B$9-F112+1)/(G112-F112+1))))</f>
        <v>0</v>
      </c>
      <c r="T112" s="12">
        <f t="shared" si="15"/>
        <v>0</v>
      </c>
      <c r="U112" s="9">
        <f t="shared" si="16"/>
        <v>0</v>
      </c>
      <c r="V112" s="9">
        <f t="shared" si="17"/>
        <v>0</v>
      </c>
      <c r="W112" s="15" t="str">
        <f t="shared" si="18"/>
        <v/>
      </c>
      <c r="X112" s="2" t="str">
        <f t="shared" si="19"/>
        <v>未計測</v>
      </c>
    </row>
    <row r="113" spans="1:24" x14ac:dyDescent="0.4">
      <c r="A113" s="2" t="s">
        <v>396</v>
      </c>
      <c r="B113" s="2" t="s">
        <v>388</v>
      </c>
      <c r="C113" s="2" t="s">
        <v>389</v>
      </c>
      <c r="D113" s="2" t="s">
        <v>390</v>
      </c>
      <c r="E113" s="2" t="s">
        <v>397</v>
      </c>
      <c r="F113" s="7">
        <v>46241</v>
      </c>
      <c r="G113" s="7">
        <v>46241</v>
      </c>
      <c r="H113" s="9">
        <v>1</v>
      </c>
      <c r="I113" s="7"/>
      <c r="J113" s="7"/>
      <c r="K113" s="9"/>
      <c r="L113" s="2" t="s">
        <v>20</v>
      </c>
      <c r="M113" s="2" t="s">
        <v>297</v>
      </c>
      <c r="N113" s="2" t="s">
        <v>22</v>
      </c>
      <c r="O113" s="2" t="s">
        <v>23</v>
      </c>
      <c r="P113" s="2" t="s">
        <v>394</v>
      </c>
      <c r="Q113" s="2" t="s">
        <v>398</v>
      </c>
      <c r="R113" s="2"/>
      <c r="S113" s="12">
        <f>IF(OR(F113="",G113=""),0,MAX(0,MIN(1,(サマリ!$B$9-F113+1)/(G113-F113+1))))</f>
        <v>0</v>
      </c>
      <c r="T113" s="12">
        <f t="shared" si="15"/>
        <v>0</v>
      </c>
      <c r="U113" s="9">
        <f t="shared" si="16"/>
        <v>0</v>
      </c>
      <c r="V113" s="9">
        <f t="shared" si="17"/>
        <v>0</v>
      </c>
      <c r="W113" s="15" t="str">
        <f t="shared" si="18"/>
        <v/>
      </c>
      <c r="X113" s="2" t="str">
        <f t="shared" si="19"/>
        <v>未計測</v>
      </c>
    </row>
    <row r="114" spans="1:24" x14ac:dyDescent="0.4">
      <c r="A114" s="2" t="s">
        <v>399</v>
      </c>
      <c r="B114" s="2" t="s">
        <v>388</v>
      </c>
      <c r="C114" s="2" t="s">
        <v>400</v>
      </c>
      <c r="D114" s="2" t="s">
        <v>401</v>
      </c>
      <c r="E114" s="2" t="s">
        <v>402</v>
      </c>
      <c r="F114" s="7">
        <v>46241</v>
      </c>
      <c r="G114" s="7">
        <v>46242</v>
      </c>
      <c r="H114" s="9">
        <v>1.5</v>
      </c>
      <c r="I114" s="7"/>
      <c r="J114" s="7"/>
      <c r="K114" s="9"/>
      <c r="L114" s="2" t="s">
        <v>20</v>
      </c>
      <c r="M114" s="2" t="s">
        <v>292</v>
      </c>
      <c r="N114" s="2" t="s">
        <v>22</v>
      </c>
      <c r="O114" s="2" t="s">
        <v>23</v>
      </c>
      <c r="P114" s="2" t="s">
        <v>394</v>
      </c>
      <c r="Q114" s="2" t="s">
        <v>403</v>
      </c>
      <c r="R114" s="2"/>
      <c r="S114" s="12">
        <f>IF(OR(F114="",G114=""),0,MAX(0,MIN(1,(サマリ!$B$9-F114+1)/(G114-F114+1))))</f>
        <v>0</v>
      </c>
      <c r="T114" s="12">
        <f t="shared" si="15"/>
        <v>0</v>
      </c>
      <c r="U114" s="9">
        <f t="shared" si="16"/>
        <v>0</v>
      </c>
      <c r="V114" s="9">
        <f t="shared" si="17"/>
        <v>0</v>
      </c>
      <c r="W114" s="15" t="str">
        <f t="shared" si="18"/>
        <v/>
      </c>
      <c r="X114" s="2" t="str">
        <f t="shared" si="19"/>
        <v>未計測</v>
      </c>
    </row>
    <row r="115" spans="1:24" x14ac:dyDescent="0.4">
      <c r="A115" s="2" t="s">
        <v>404</v>
      </c>
      <c r="B115" s="2" t="s">
        <v>388</v>
      </c>
      <c r="C115" s="2" t="s">
        <v>400</v>
      </c>
      <c r="D115" s="2" t="s">
        <v>401</v>
      </c>
      <c r="E115" s="2" t="s">
        <v>405</v>
      </c>
      <c r="F115" s="7">
        <v>46242</v>
      </c>
      <c r="G115" s="7">
        <v>46242</v>
      </c>
      <c r="H115" s="9">
        <v>2</v>
      </c>
      <c r="I115" s="7"/>
      <c r="J115" s="7"/>
      <c r="K115" s="9"/>
      <c r="L115" s="2" t="s">
        <v>20</v>
      </c>
      <c r="M115" s="2" t="s">
        <v>40</v>
      </c>
      <c r="N115" s="2" t="s">
        <v>22</v>
      </c>
      <c r="O115" s="2" t="s">
        <v>23</v>
      </c>
      <c r="P115" s="2" t="s">
        <v>399</v>
      </c>
      <c r="Q115" s="2" t="s">
        <v>406</v>
      </c>
      <c r="R115" s="2"/>
      <c r="S115" s="12">
        <f>IF(OR(F115="",G115=""),0,MAX(0,MIN(1,(サマリ!$B$9-F115+1)/(G115-F115+1))))</f>
        <v>0</v>
      </c>
      <c r="T115" s="12">
        <f t="shared" si="15"/>
        <v>0</v>
      </c>
      <c r="U115" s="9">
        <f t="shared" si="16"/>
        <v>0</v>
      </c>
      <c r="V115" s="9">
        <f t="shared" si="17"/>
        <v>0</v>
      </c>
      <c r="W115" s="15" t="str">
        <f t="shared" si="18"/>
        <v/>
      </c>
      <c r="X115" s="2" t="str">
        <f t="shared" si="19"/>
        <v>未計測</v>
      </c>
    </row>
    <row r="116" spans="1:24" x14ac:dyDescent="0.4">
      <c r="A116" s="2" t="s">
        <v>407</v>
      </c>
      <c r="B116" s="2" t="s">
        <v>388</v>
      </c>
      <c r="C116" s="2" t="s">
        <v>400</v>
      </c>
      <c r="D116" s="2" t="s">
        <v>401</v>
      </c>
      <c r="E116" s="2" t="s">
        <v>408</v>
      </c>
      <c r="F116" s="7">
        <v>46242</v>
      </c>
      <c r="G116" s="7">
        <v>46242</v>
      </c>
      <c r="H116" s="9">
        <v>1.5</v>
      </c>
      <c r="I116" s="7"/>
      <c r="J116" s="7"/>
      <c r="K116" s="9"/>
      <c r="L116" s="2" t="s">
        <v>20</v>
      </c>
      <c r="M116" s="2" t="s">
        <v>71</v>
      </c>
      <c r="N116" s="2" t="s">
        <v>22</v>
      </c>
      <c r="O116" s="2" t="s">
        <v>45</v>
      </c>
      <c r="P116" s="2" t="s">
        <v>404</v>
      </c>
      <c r="Q116" s="2" t="s">
        <v>409</v>
      </c>
      <c r="R116" s="2"/>
      <c r="S116" s="12">
        <f>IF(OR(F116="",G116=""),0,MAX(0,MIN(1,(サマリ!$B$9-F116+1)/(G116-F116+1))))</f>
        <v>0</v>
      </c>
      <c r="T116" s="12">
        <f t="shared" si="15"/>
        <v>0</v>
      </c>
      <c r="U116" s="9">
        <f t="shared" si="16"/>
        <v>0</v>
      </c>
      <c r="V116" s="9">
        <f t="shared" si="17"/>
        <v>0</v>
      </c>
      <c r="W116" s="15" t="str">
        <f t="shared" si="18"/>
        <v/>
      </c>
      <c r="X116" s="2" t="str">
        <f t="shared" si="19"/>
        <v>未計測</v>
      </c>
    </row>
    <row r="117" spans="1:24" x14ac:dyDescent="0.4">
      <c r="A117" s="2" t="s">
        <v>410</v>
      </c>
      <c r="B117" s="2" t="s">
        <v>388</v>
      </c>
      <c r="C117" s="2" t="s">
        <v>411</v>
      </c>
      <c r="D117" s="2" t="s">
        <v>412</v>
      </c>
      <c r="E117" s="2" t="s">
        <v>413</v>
      </c>
      <c r="F117" s="7">
        <v>46241</v>
      </c>
      <c r="G117" s="7">
        <v>46242</v>
      </c>
      <c r="H117" s="9">
        <v>1.5</v>
      </c>
      <c r="I117" s="7"/>
      <c r="J117" s="7"/>
      <c r="K117" s="9"/>
      <c r="L117" s="2" t="s">
        <v>20</v>
      </c>
      <c r="M117" s="2" t="s">
        <v>58</v>
      </c>
      <c r="N117" s="2" t="s">
        <v>22</v>
      </c>
      <c r="O117" s="2" t="s">
        <v>23</v>
      </c>
      <c r="P117" s="2" t="s">
        <v>295</v>
      </c>
      <c r="Q117" s="2" t="s">
        <v>414</v>
      </c>
      <c r="R117" s="2"/>
      <c r="S117" s="12">
        <f>IF(OR(F117="",G117=""),0,MAX(0,MIN(1,(サマリ!$B$9-F117+1)/(G117-F117+1))))</f>
        <v>0</v>
      </c>
      <c r="T117" s="12">
        <f t="shared" si="15"/>
        <v>0</v>
      </c>
      <c r="U117" s="9">
        <f t="shared" si="16"/>
        <v>0</v>
      </c>
      <c r="V117" s="9">
        <f t="shared" si="17"/>
        <v>0</v>
      </c>
      <c r="W117" s="15" t="str">
        <f t="shared" si="18"/>
        <v/>
      </c>
      <c r="X117" s="2" t="str">
        <f t="shared" si="19"/>
        <v>未計測</v>
      </c>
    </row>
    <row r="118" spans="1:24" x14ac:dyDescent="0.4">
      <c r="A118" s="2" t="s">
        <v>415</v>
      </c>
      <c r="B118" s="2" t="s">
        <v>388</v>
      </c>
      <c r="C118" s="2" t="s">
        <v>411</v>
      </c>
      <c r="D118" s="2" t="s">
        <v>412</v>
      </c>
      <c r="E118" s="2" t="s">
        <v>416</v>
      </c>
      <c r="F118" s="7">
        <v>46242</v>
      </c>
      <c r="G118" s="7">
        <v>46242</v>
      </c>
      <c r="H118" s="9">
        <v>2</v>
      </c>
      <c r="I118" s="7"/>
      <c r="J118" s="7"/>
      <c r="K118" s="9"/>
      <c r="L118" s="2" t="s">
        <v>20</v>
      </c>
      <c r="M118" s="2" t="s">
        <v>51</v>
      </c>
      <c r="N118" s="2" t="s">
        <v>22</v>
      </c>
      <c r="O118" s="2" t="s">
        <v>23</v>
      </c>
      <c r="P118" s="2" t="s">
        <v>189</v>
      </c>
      <c r="Q118" s="2" t="s">
        <v>191</v>
      </c>
      <c r="R118" s="2"/>
      <c r="S118" s="12">
        <f>IF(OR(F118="",G118=""),0,MAX(0,MIN(1,(サマリ!$B$9-F118+1)/(G118-F118+1))))</f>
        <v>0</v>
      </c>
      <c r="T118" s="12">
        <f t="shared" si="15"/>
        <v>0</v>
      </c>
      <c r="U118" s="9">
        <f t="shared" si="16"/>
        <v>0</v>
      </c>
      <c r="V118" s="9">
        <f t="shared" si="17"/>
        <v>0</v>
      </c>
      <c r="W118" s="15" t="str">
        <f t="shared" si="18"/>
        <v/>
      </c>
      <c r="X118" s="2" t="str">
        <f t="shared" si="19"/>
        <v>未計測</v>
      </c>
    </row>
    <row r="119" spans="1:24" x14ac:dyDescent="0.4">
      <c r="A119" s="2" t="s">
        <v>417</v>
      </c>
      <c r="B119" s="2" t="s">
        <v>388</v>
      </c>
      <c r="C119" s="2" t="s">
        <v>411</v>
      </c>
      <c r="D119" s="2" t="s">
        <v>412</v>
      </c>
      <c r="E119" s="2" t="s">
        <v>418</v>
      </c>
      <c r="F119" s="7">
        <v>46242</v>
      </c>
      <c r="G119" s="7">
        <v>46243</v>
      </c>
      <c r="H119" s="9">
        <v>1.5</v>
      </c>
      <c r="I119" s="7"/>
      <c r="J119" s="7"/>
      <c r="K119" s="9"/>
      <c r="L119" s="2" t="s">
        <v>20</v>
      </c>
      <c r="M119" s="2" t="s">
        <v>58</v>
      </c>
      <c r="N119" s="2" t="s">
        <v>22</v>
      </c>
      <c r="O119" s="2" t="s">
        <v>45</v>
      </c>
      <c r="P119" s="2" t="s">
        <v>410</v>
      </c>
      <c r="Q119" s="2" t="s">
        <v>419</v>
      </c>
      <c r="R119" s="2"/>
      <c r="S119" s="12">
        <f>IF(OR(F119="",G119=""),0,MAX(0,MIN(1,(サマリ!$B$9-F119+1)/(G119-F119+1))))</f>
        <v>0</v>
      </c>
      <c r="T119" s="12">
        <f t="shared" si="15"/>
        <v>0</v>
      </c>
      <c r="U119" s="9">
        <f t="shared" si="16"/>
        <v>0</v>
      </c>
      <c r="V119" s="9">
        <f t="shared" si="17"/>
        <v>0</v>
      </c>
      <c r="W119" s="15" t="str">
        <f t="shared" si="18"/>
        <v/>
      </c>
      <c r="X119" s="2" t="str">
        <f t="shared" si="19"/>
        <v>未計測</v>
      </c>
    </row>
    <row r="120" spans="1:24" x14ac:dyDescent="0.4">
      <c r="A120" s="2" t="s">
        <v>420</v>
      </c>
      <c r="B120" s="2" t="s">
        <v>388</v>
      </c>
      <c r="C120" s="2" t="s">
        <v>411</v>
      </c>
      <c r="D120" s="2" t="s">
        <v>412</v>
      </c>
      <c r="E120" s="2" t="s">
        <v>421</v>
      </c>
      <c r="F120" s="7">
        <v>46243</v>
      </c>
      <c r="G120" s="7">
        <v>46243</v>
      </c>
      <c r="H120" s="9">
        <v>1</v>
      </c>
      <c r="I120" s="7"/>
      <c r="J120" s="7"/>
      <c r="K120" s="9"/>
      <c r="L120" s="2" t="s">
        <v>20</v>
      </c>
      <c r="M120" s="2" t="s">
        <v>98</v>
      </c>
      <c r="N120" s="2" t="s">
        <v>22</v>
      </c>
      <c r="O120" s="2" t="s">
        <v>45</v>
      </c>
      <c r="P120" s="2" t="s">
        <v>417</v>
      </c>
      <c r="Q120" s="2" t="s">
        <v>422</v>
      </c>
      <c r="R120" s="2"/>
      <c r="S120" s="12">
        <f>IF(OR(F120="",G120=""),0,MAX(0,MIN(1,(サマリ!$B$9-F120+1)/(G120-F120+1))))</f>
        <v>0</v>
      </c>
      <c r="T120" s="12">
        <f t="shared" si="15"/>
        <v>0</v>
      </c>
      <c r="U120" s="9">
        <f t="shared" si="16"/>
        <v>0</v>
      </c>
      <c r="V120" s="9">
        <f t="shared" si="17"/>
        <v>0</v>
      </c>
      <c r="W120" s="15" t="str">
        <f t="shared" si="18"/>
        <v/>
      </c>
      <c r="X120" s="2" t="str">
        <f t="shared" si="19"/>
        <v>未計測</v>
      </c>
    </row>
    <row r="121" spans="1:24" x14ac:dyDescent="0.4">
      <c r="A121" s="2" t="s">
        <v>423</v>
      </c>
      <c r="B121" s="2" t="s">
        <v>388</v>
      </c>
      <c r="C121" s="2" t="s">
        <v>424</v>
      </c>
      <c r="D121" s="2" t="s">
        <v>425</v>
      </c>
      <c r="E121" s="2" t="s">
        <v>426</v>
      </c>
      <c r="F121" s="7">
        <v>46241</v>
      </c>
      <c r="G121" s="7">
        <v>46241</v>
      </c>
      <c r="H121" s="9">
        <v>1.5</v>
      </c>
      <c r="I121" s="7"/>
      <c r="J121" s="7"/>
      <c r="K121" s="9"/>
      <c r="L121" s="2" t="s">
        <v>20</v>
      </c>
      <c r="M121" s="2" t="s">
        <v>51</v>
      </c>
      <c r="N121" s="2" t="s">
        <v>22</v>
      </c>
      <c r="O121" s="2" t="s">
        <v>23</v>
      </c>
      <c r="P121" s="2" t="s">
        <v>126</v>
      </c>
      <c r="Q121" s="2" t="s">
        <v>427</v>
      </c>
      <c r="R121" s="2"/>
      <c r="S121" s="12">
        <f>IF(OR(F121="",G121=""),0,MAX(0,MIN(1,(サマリ!$B$9-F121+1)/(G121-F121+1))))</f>
        <v>0</v>
      </c>
      <c r="T121" s="12">
        <f t="shared" si="15"/>
        <v>0</v>
      </c>
      <c r="U121" s="9">
        <f t="shared" si="16"/>
        <v>0</v>
      </c>
      <c r="V121" s="9">
        <f t="shared" si="17"/>
        <v>0</v>
      </c>
      <c r="W121" s="15" t="str">
        <f t="shared" si="18"/>
        <v/>
      </c>
      <c r="X121" s="2" t="str">
        <f t="shared" si="19"/>
        <v>未計測</v>
      </c>
    </row>
    <row r="122" spans="1:24" x14ac:dyDescent="0.4">
      <c r="A122" s="2" t="s">
        <v>428</v>
      </c>
      <c r="B122" s="2" t="s">
        <v>388</v>
      </c>
      <c r="C122" s="2" t="s">
        <v>424</v>
      </c>
      <c r="D122" s="2" t="s">
        <v>425</v>
      </c>
      <c r="E122" s="2" t="s">
        <v>429</v>
      </c>
      <c r="F122" s="7">
        <v>46242</v>
      </c>
      <c r="G122" s="7">
        <v>46242</v>
      </c>
      <c r="H122" s="9">
        <v>1.5</v>
      </c>
      <c r="I122" s="7"/>
      <c r="J122" s="7"/>
      <c r="K122" s="9"/>
      <c r="L122" s="2" t="s">
        <v>20</v>
      </c>
      <c r="M122" s="2" t="s">
        <v>128</v>
      </c>
      <c r="N122" s="2" t="s">
        <v>22</v>
      </c>
      <c r="O122" s="2" t="s">
        <v>23</v>
      </c>
      <c r="P122" s="2" t="s">
        <v>423</v>
      </c>
      <c r="Q122" s="2" t="s">
        <v>430</v>
      </c>
      <c r="R122" s="2"/>
      <c r="S122" s="12">
        <f>IF(OR(F122="",G122=""),0,MAX(0,MIN(1,(サマリ!$B$9-F122+1)/(G122-F122+1))))</f>
        <v>0</v>
      </c>
      <c r="T122" s="12">
        <f t="shared" si="15"/>
        <v>0</v>
      </c>
      <c r="U122" s="9">
        <f t="shared" si="16"/>
        <v>0</v>
      </c>
      <c r="V122" s="9">
        <f t="shared" si="17"/>
        <v>0</v>
      </c>
      <c r="W122" s="15" t="str">
        <f t="shared" si="18"/>
        <v/>
      </c>
      <c r="X122" s="2" t="str">
        <f t="shared" si="19"/>
        <v>未計測</v>
      </c>
    </row>
    <row r="123" spans="1:24" x14ac:dyDescent="0.4">
      <c r="A123" s="2" t="s">
        <v>431</v>
      </c>
      <c r="B123" s="2" t="s">
        <v>388</v>
      </c>
      <c r="C123" s="2" t="s">
        <v>424</v>
      </c>
      <c r="D123" s="2" t="s">
        <v>425</v>
      </c>
      <c r="E123" s="2" t="s">
        <v>432</v>
      </c>
      <c r="F123" s="7">
        <v>46242</v>
      </c>
      <c r="G123" s="7">
        <v>46242</v>
      </c>
      <c r="H123" s="9">
        <v>1</v>
      </c>
      <c r="I123" s="7"/>
      <c r="J123" s="7"/>
      <c r="K123" s="9"/>
      <c r="L123" s="2" t="s">
        <v>20</v>
      </c>
      <c r="M123" s="2" t="s">
        <v>40</v>
      </c>
      <c r="N123" s="2" t="s">
        <v>22</v>
      </c>
      <c r="O123" s="2" t="s">
        <v>45</v>
      </c>
      <c r="P123" s="2" t="s">
        <v>428</v>
      </c>
      <c r="Q123" s="2" t="s">
        <v>433</v>
      </c>
      <c r="R123" s="2"/>
      <c r="S123" s="12">
        <f>IF(OR(F123="",G123=""),0,MAX(0,MIN(1,(サマリ!$B$9-F123+1)/(G123-F123+1))))</f>
        <v>0</v>
      </c>
      <c r="T123" s="12">
        <f t="shared" si="15"/>
        <v>0</v>
      </c>
      <c r="U123" s="9">
        <f t="shared" si="16"/>
        <v>0</v>
      </c>
      <c r="V123" s="9">
        <f t="shared" si="17"/>
        <v>0</v>
      </c>
      <c r="W123" s="15" t="str">
        <f t="shared" si="18"/>
        <v/>
      </c>
      <c r="X123" s="2" t="str">
        <f t="shared" si="19"/>
        <v>未計測</v>
      </c>
    </row>
    <row r="124" spans="1:24" x14ac:dyDescent="0.4">
      <c r="A124" s="2" t="s">
        <v>434</v>
      </c>
      <c r="B124" s="2" t="s">
        <v>388</v>
      </c>
      <c r="C124" s="2" t="s">
        <v>424</v>
      </c>
      <c r="D124" s="2" t="s">
        <v>425</v>
      </c>
      <c r="E124" s="2" t="s">
        <v>435</v>
      </c>
      <c r="F124" s="7">
        <v>46242</v>
      </c>
      <c r="G124" s="7">
        <v>46242</v>
      </c>
      <c r="H124" s="9">
        <v>1</v>
      </c>
      <c r="I124" s="7"/>
      <c r="J124" s="7"/>
      <c r="K124" s="9"/>
      <c r="L124" s="2" t="s">
        <v>20</v>
      </c>
      <c r="M124" s="2" t="s">
        <v>436</v>
      </c>
      <c r="N124" s="2" t="s">
        <v>22</v>
      </c>
      <c r="O124" s="2" t="s">
        <v>23</v>
      </c>
      <c r="P124" s="2" t="s">
        <v>431</v>
      </c>
      <c r="Q124" s="2" t="s">
        <v>129</v>
      </c>
      <c r="R124" s="2"/>
      <c r="S124" s="12">
        <f>IF(OR(F124="",G124=""),0,MAX(0,MIN(1,(サマリ!$B$9-F124+1)/(G124-F124+1))))</f>
        <v>0</v>
      </c>
      <c r="T124" s="12">
        <f t="shared" si="15"/>
        <v>0</v>
      </c>
      <c r="U124" s="9">
        <f t="shared" si="16"/>
        <v>0</v>
      </c>
      <c r="V124" s="9">
        <f t="shared" si="17"/>
        <v>0</v>
      </c>
      <c r="W124" s="15" t="str">
        <f t="shared" si="18"/>
        <v/>
      </c>
      <c r="X124" s="2" t="str">
        <f t="shared" si="19"/>
        <v>未計測</v>
      </c>
    </row>
    <row r="125" spans="1:24" x14ac:dyDescent="0.4">
      <c r="A125" s="2" t="s">
        <v>437</v>
      </c>
      <c r="B125" s="2" t="s">
        <v>388</v>
      </c>
      <c r="C125" s="2" t="s">
        <v>438</v>
      </c>
      <c r="D125" s="2" t="s">
        <v>439</v>
      </c>
      <c r="E125" s="2" t="s">
        <v>440</v>
      </c>
      <c r="F125" s="7">
        <v>46243</v>
      </c>
      <c r="G125" s="7">
        <v>46243</v>
      </c>
      <c r="H125" s="9">
        <v>1.5</v>
      </c>
      <c r="I125" s="7"/>
      <c r="J125" s="7"/>
      <c r="K125" s="9"/>
      <c r="L125" s="2" t="s">
        <v>20</v>
      </c>
      <c r="M125" s="2" t="s">
        <v>51</v>
      </c>
      <c r="N125" s="2" t="s">
        <v>22</v>
      </c>
      <c r="O125" s="2" t="s">
        <v>23</v>
      </c>
      <c r="P125" s="2" t="s">
        <v>420</v>
      </c>
      <c r="Q125" s="2" t="s">
        <v>441</v>
      </c>
      <c r="R125" s="2"/>
      <c r="S125" s="12">
        <f>IF(OR(F125="",G125=""),0,MAX(0,MIN(1,(サマリ!$B$9-F125+1)/(G125-F125+1))))</f>
        <v>0</v>
      </c>
      <c r="T125" s="12">
        <f t="shared" si="15"/>
        <v>0</v>
      </c>
      <c r="U125" s="9">
        <f t="shared" si="16"/>
        <v>0</v>
      </c>
      <c r="V125" s="9">
        <f t="shared" si="17"/>
        <v>0</v>
      </c>
      <c r="W125" s="15" t="str">
        <f t="shared" si="18"/>
        <v/>
      </c>
      <c r="X125" s="2" t="str">
        <f t="shared" si="19"/>
        <v>未計測</v>
      </c>
    </row>
    <row r="126" spans="1:24" x14ac:dyDescent="0.4">
      <c r="A126" s="2" t="s">
        <v>442</v>
      </c>
      <c r="B126" s="2" t="s">
        <v>388</v>
      </c>
      <c r="C126" s="2" t="s">
        <v>438</v>
      </c>
      <c r="D126" s="2" t="s">
        <v>439</v>
      </c>
      <c r="E126" s="2" t="s">
        <v>443</v>
      </c>
      <c r="F126" s="7">
        <v>46243</v>
      </c>
      <c r="G126" s="7">
        <v>46243</v>
      </c>
      <c r="H126" s="9">
        <v>1</v>
      </c>
      <c r="I126" s="7"/>
      <c r="J126" s="7"/>
      <c r="K126" s="9"/>
      <c r="L126" s="2" t="s">
        <v>20</v>
      </c>
      <c r="M126" s="2" t="s">
        <v>436</v>
      </c>
      <c r="N126" s="2" t="s">
        <v>22</v>
      </c>
      <c r="O126" s="2" t="s">
        <v>23</v>
      </c>
      <c r="P126" s="2" t="s">
        <v>437</v>
      </c>
      <c r="Q126" s="2" t="s">
        <v>444</v>
      </c>
      <c r="R126" s="2"/>
      <c r="S126" s="12">
        <f>IF(OR(F126="",G126=""),0,MAX(0,MIN(1,(サマリ!$B$9-F126+1)/(G126-F126+1))))</f>
        <v>0</v>
      </c>
      <c r="T126" s="12">
        <f t="shared" si="15"/>
        <v>0</v>
      </c>
      <c r="U126" s="9">
        <f t="shared" si="16"/>
        <v>0</v>
      </c>
      <c r="V126" s="9">
        <f t="shared" si="17"/>
        <v>0</v>
      </c>
      <c r="W126" s="15" t="str">
        <f t="shared" si="18"/>
        <v/>
      </c>
      <c r="X126" s="2" t="str">
        <f t="shared" si="19"/>
        <v>未計測</v>
      </c>
    </row>
    <row r="127" spans="1:24" x14ac:dyDescent="0.4">
      <c r="A127" s="2" t="s">
        <v>445</v>
      </c>
      <c r="B127" s="2" t="s">
        <v>388</v>
      </c>
      <c r="C127" s="2" t="s">
        <v>438</v>
      </c>
      <c r="D127" s="2" t="s">
        <v>439</v>
      </c>
      <c r="E127" s="2" t="s">
        <v>446</v>
      </c>
      <c r="F127" s="7">
        <v>46243</v>
      </c>
      <c r="G127" s="7">
        <v>46243</v>
      </c>
      <c r="H127" s="9">
        <v>1.5</v>
      </c>
      <c r="I127" s="7"/>
      <c r="J127" s="7"/>
      <c r="K127" s="9"/>
      <c r="L127" s="2" t="s">
        <v>20</v>
      </c>
      <c r="M127" s="2" t="s">
        <v>89</v>
      </c>
      <c r="N127" s="2" t="s">
        <v>22</v>
      </c>
      <c r="O127" s="2" t="s">
        <v>23</v>
      </c>
      <c r="P127" s="2" t="s">
        <v>442</v>
      </c>
      <c r="Q127" s="2" t="s">
        <v>447</v>
      </c>
      <c r="R127" s="2"/>
      <c r="S127" s="12">
        <f>IF(OR(F127="",G127=""),0,MAX(0,MIN(1,(サマリ!$B$9-F127+1)/(G127-F127+1))))</f>
        <v>0</v>
      </c>
      <c r="T127" s="12">
        <f t="shared" si="15"/>
        <v>0</v>
      </c>
      <c r="U127" s="9">
        <f t="shared" si="16"/>
        <v>0</v>
      </c>
      <c r="V127" s="9">
        <f t="shared" si="17"/>
        <v>0</v>
      </c>
      <c r="W127" s="15" t="str">
        <f t="shared" si="18"/>
        <v/>
      </c>
      <c r="X127" s="2" t="str">
        <f t="shared" si="19"/>
        <v>未計測</v>
      </c>
    </row>
    <row r="128" spans="1:24" x14ac:dyDescent="0.4">
      <c r="A128" s="2" t="s">
        <v>448</v>
      </c>
      <c r="B128" s="2" t="s">
        <v>449</v>
      </c>
      <c r="C128" s="2" t="s">
        <v>450</v>
      </c>
      <c r="D128" s="2" t="s">
        <v>451</v>
      </c>
      <c r="E128" s="2" t="s">
        <v>452</v>
      </c>
      <c r="F128" s="7">
        <v>46243</v>
      </c>
      <c r="G128" s="7">
        <v>46243</v>
      </c>
      <c r="H128" s="9">
        <v>1.5</v>
      </c>
      <c r="I128" s="7"/>
      <c r="J128" s="7"/>
      <c r="K128" s="9"/>
      <c r="L128" s="2" t="s">
        <v>20</v>
      </c>
      <c r="M128" s="2" t="s">
        <v>58</v>
      </c>
      <c r="N128" s="2" t="s">
        <v>22</v>
      </c>
      <c r="O128" s="2" t="s">
        <v>23</v>
      </c>
      <c r="P128" s="2" t="s">
        <v>410</v>
      </c>
      <c r="Q128" s="2" t="s">
        <v>453</v>
      </c>
      <c r="R128" s="2"/>
      <c r="S128" s="12">
        <f>IF(OR(F128="",G128=""),0,MAX(0,MIN(1,(サマリ!$B$9-F128+1)/(G128-F128+1))))</f>
        <v>0</v>
      </c>
      <c r="T128" s="12">
        <f t="shared" si="15"/>
        <v>0</v>
      </c>
      <c r="U128" s="9">
        <f t="shared" si="16"/>
        <v>0</v>
      </c>
      <c r="V128" s="9">
        <f t="shared" si="17"/>
        <v>0</v>
      </c>
      <c r="W128" s="15" t="str">
        <f t="shared" si="18"/>
        <v/>
      </c>
      <c r="X128" s="2" t="str">
        <f t="shared" si="19"/>
        <v>未計測</v>
      </c>
    </row>
    <row r="129" spans="1:24" x14ac:dyDescent="0.4">
      <c r="A129" s="2" t="s">
        <v>454</v>
      </c>
      <c r="B129" s="2" t="s">
        <v>449</v>
      </c>
      <c r="C129" s="2" t="s">
        <v>450</v>
      </c>
      <c r="D129" s="2" t="s">
        <v>451</v>
      </c>
      <c r="E129" s="2" t="s">
        <v>455</v>
      </c>
      <c r="F129" s="7">
        <v>46243</v>
      </c>
      <c r="G129" s="7">
        <v>46243</v>
      </c>
      <c r="H129" s="9">
        <v>1.5</v>
      </c>
      <c r="I129" s="7"/>
      <c r="J129" s="7"/>
      <c r="K129" s="9"/>
      <c r="L129" s="2" t="s">
        <v>20</v>
      </c>
      <c r="M129" s="2" t="s">
        <v>58</v>
      </c>
      <c r="N129" s="2" t="s">
        <v>22</v>
      </c>
      <c r="O129" s="2" t="s">
        <v>23</v>
      </c>
      <c r="P129" s="2" t="s">
        <v>448</v>
      </c>
      <c r="Q129" s="2" t="s">
        <v>456</v>
      </c>
      <c r="R129" s="2"/>
      <c r="S129" s="12">
        <f>IF(OR(F129="",G129=""),0,MAX(0,MIN(1,(サマリ!$B$9-F129+1)/(G129-F129+1))))</f>
        <v>0</v>
      </c>
      <c r="T129" s="12">
        <f t="shared" si="15"/>
        <v>0</v>
      </c>
      <c r="U129" s="9">
        <f t="shared" si="16"/>
        <v>0</v>
      </c>
      <c r="V129" s="9">
        <f t="shared" si="17"/>
        <v>0</v>
      </c>
      <c r="W129" s="15" t="str">
        <f t="shared" si="18"/>
        <v/>
      </c>
      <c r="X129" s="2" t="str">
        <f t="shared" si="19"/>
        <v>未計測</v>
      </c>
    </row>
    <row r="130" spans="1:24" x14ac:dyDescent="0.4">
      <c r="A130" s="2" t="s">
        <v>457</v>
      </c>
      <c r="B130" s="2" t="s">
        <v>449</v>
      </c>
      <c r="C130" s="2" t="s">
        <v>450</v>
      </c>
      <c r="D130" s="2" t="s">
        <v>451</v>
      </c>
      <c r="E130" s="2" t="s">
        <v>458</v>
      </c>
      <c r="F130" s="7">
        <v>46243</v>
      </c>
      <c r="G130" s="7">
        <v>46243</v>
      </c>
      <c r="H130" s="9">
        <v>1</v>
      </c>
      <c r="I130" s="7"/>
      <c r="J130" s="7"/>
      <c r="K130" s="9"/>
      <c r="L130" s="2" t="s">
        <v>20</v>
      </c>
      <c r="M130" s="2" t="s">
        <v>58</v>
      </c>
      <c r="N130" s="2" t="s">
        <v>22</v>
      </c>
      <c r="O130" s="2" t="s">
        <v>23</v>
      </c>
      <c r="P130" s="2" t="s">
        <v>454</v>
      </c>
      <c r="Q130" s="2" t="s">
        <v>378</v>
      </c>
      <c r="R130" s="2"/>
      <c r="S130" s="12">
        <f>IF(OR(F130="",G130=""),0,MAX(0,MIN(1,(サマリ!$B$9-F130+1)/(G130-F130+1))))</f>
        <v>0</v>
      </c>
      <c r="T130" s="12">
        <f t="shared" ref="T130:T138" si="20">IF(N130="完了",1,IF(N130="進行中",0.5,IF(N130="保留",0,0)))</f>
        <v>0</v>
      </c>
      <c r="U130" s="9">
        <f t="shared" ref="U130:U138" si="21">H130*S130</f>
        <v>0</v>
      </c>
      <c r="V130" s="9">
        <f t="shared" ref="V130:V138" si="22">H130*T130</f>
        <v>0</v>
      </c>
      <c r="W130" s="15" t="str">
        <f t="shared" ref="W130:W161" si="23">IF(U130=0,"",V130/U130)</f>
        <v/>
      </c>
      <c r="X130" s="2" t="str">
        <f t="shared" ref="X130:X161" si="24">IF(W130="","未計測",IF(W130&gt;=1,"予定通り/前倒し",IF(W130&gt;=0.9,"要注意","遅延")))</f>
        <v>未計測</v>
      </c>
    </row>
    <row r="131" spans="1:24" x14ac:dyDescent="0.4">
      <c r="A131" s="2" t="s">
        <v>459</v>
      </c>
      <c r="B131" s="2" t="s">
        <v>449</v>
      </c>
      <c r="C131" s="2" t="s">
        <v>460</v>
      </c>
      <c r="D131" s="2" t="s">
        <v>460</v>
      </c>
      <c r="E131" s="2" t="s">
        <v>461</v>
      </c>
      <c r="F131" s="7">
        <v>46243</v>
      </c>
      <c r="G131" s="7">
        <v>46243</v>
      </c>
      <c r="H131" s="9">
        <v>1.5</v>
      </c>
      <c r="I131" s="7"/>
      <c r="J131" s="7"/>
      <c r="K131" s="9"/>
      <c r="L131" s="2" t="s">
        <v>20</v>
      </c>
      <c r="M131" s="2" t="s">
        <v>98</v>
      </c>
      <c r="N131" s="2" t="s">
        <v>22</v>
      </c>
      <c r="O131" s="2" t="s">
        <v>23</v>
      </c>
      <c r="P131" s="2" t="s">
        <v>454</v>
      </c>
      <c r="Q131" s="2" t="s">
        <v>460</v>
      </c>
      <c r="R131" s="2"/>
      <c r="S131" s="12">
        <f>IF(OR(F131="",G131=""),0,MAX(0,MIN(1,(サマリ!$B$9-F131+1)/(G131-F131+1))))</f>
        <v>0</v>
      </c>
      <c r="T131" s="12">
        <f t="shared" si="20"/>
        <v>0</v>
      </c>
      <c r="U131" s="9">
        <f t="shared" si="21"/>
        <v>0</v>
      </c>
      <c r="V131" s="9">
        <f t="shared" si="22"/>
        <v>0</v>
      </c>
      <c r="W131" s="15" t="str">
        <f t="shared" si="23"/>
        <v/>
      </c>
      <c r="X131" s="2" t="str">
        <f t="shared" si="24"/>
        <v>未計測</v>
      </c>
    </row>
    <row r="132" spans="1:24" x14ac:dyDescent="0.4">
      <c r="A132" s="2" t="s">
        <v>462</v>
      </c>
      <c r="B132" s="2" t="s">
        <v>449</v>
      </c>
      <c r="C132" s="2" t="s">
        <v>460</v>
      </c>
      <c r="D132" s="2" t="s">
        <v>460</v>
      </c>
      <c r="E132" s="2" t="s">
        <v>463</v>
      </c>
      <c r="F132" s="7">
        <v>46243</v>
      </c>
      <c r="G132" s="7">
        <v>46243</v>
      </c>
      <c r="H132" s="9">
        <v>1</v>
      </c>
      <c r="I132" s="7"/>
      <c r="J132" s="7"/>
      <c r="K132" s="9"/>
      <c r="L132" s="2" t="s">
        <v>20</v>
      </c>
      <c r="M132" s="2" t="s">
        <v>98</v>
      </c>
      <c r="N132" s="2" t="s">
        <v>22</v>
      </c>
      <c r="O132" s="2" t="s">
        <v>45</v>
      </c>
      <c r="P132" s="2" t="s">
        <v>459</v>
      </c>
      <c r="Q132" s="2" t="s">
        <v>464</v>
      </c>
      <c r="R132" s="2"/>
      <c r="S132" s="12">
        <f>IF(OR(F132="",G132=""),0,MAX(0,MIN(1,(サマリ!$B$9-F132+1)/(G132-F132+1))))</f>
        <v>0</v>
      </c>
      <c r="T132" s="12">
        <f t="shared" si="20"/>
        <v>0</v>
      </c>
      <c r="U132" s="9">
        <f t="shared" si="21"/>
        <v>0</v>
      </c>
      <c r="V132" s="9">
        <f t="shared" si="22"/>
        <v>0</v>
      </c>
      <c r="W132" s="15" t="str">
        <f t="shared" si="23"/>
        <v/>
      </c>
      <c r="X132" s="2" t="str">
        <f t="shared" si="24"/>
        <v>未計測</v>
      </c>
    </row>
    <row r="133" spans="1:24" x14ac:dyDescent="0.4">
      <c r="A133" s="2" t="s">
        <v>465</v>
      </c>
      <c r="B133" s="2" t="s">
        <v>449</v>
      </c>
      <c r="C133" s="2" t="s">
        <v>460</v>
      </c>
      <c r="D133" s="2" t="s">
        <v>460</v>
      </c>
      <c r="E133" s="2" t="s">
        <v>466</v>
      </c>
      <c r="F133" s="7">
        <v>46243</v>
      </c>
      <c r="G133" s="7">
        <v>46243</v>
      </c>
      <c r="H133" s="9">
        <v>0.5</v>
      </c>
      <c r="I133" s="7"/>
      <c r="J133" s="7"/>
      <c r="K133" s="9"/>
      <c r="L133" s="2" t="s">
        <v>20</v>
      </c>
      <c r="M133" s="2" t="s">
        <v>58</v>
      </c>
      <c r="N133" s="2" t="s">
        <v>22</v>
      </c>
      <c r="O133" s="2" t="s">
        <v>45</v>
      </c>
      <c r="P133" s="2" t="s">
        <v>462</v>
      </c>
      <c r="Q133" s="2" t="s">
        <v>467</v>
      </c>
      <c r="R133" s="2"/>
      <c r="S133" s="12">
        <f>IF(OR(F133="",G133=""),0,MAX(0,MIN(1,(サマリ!$B$9-F133+1)/(G133-F133+1))))</f>
        <v>0</v>
      </c>
      <c r="T133" s="12">
        <f t="shared" si="20"/>
        <v>0</v>
      </c>
      <c r="U133" s="9">
        <f t="shared" si="21"/>
        <v>0</v>
      </c>
      <c r="V133" s="9">
        <f t="shared" si="22"/>
        <v>0</v>
      </c>
      <c r="W133" s="15" t="str">
        <f t="shared" si="23"/>
        <v/>
      </c>
      <c r="X133" s="2" t="str">
        <f t="shared" si="24"/>
        <v>未計測</v>
      </c>
    </row>
    <row r="134" spans="1:24" x14ac:dyDescent="0.4">
      <c r="A134" s="2" t="s">
        <v>468</v>
      </c>
      <c r="B134" s="2" t="s">
        <v>449</v>
      </c>
      <c r="C134" s="2" t="s">
        <v>469</v>
      </c>
      <c r="D134" s="2" t="s">
        <v>470</v>
      </c>
      <c r="E134" s="2" t="s">
        <v>471</v>
      </c>
      <c r="F134" s="7">
        <v>46244</v>
      </c>
      <c r="G134" s="7">
        <v>46244</v>
      </c>
      <c r="H134" s="9">
        <v>1</v>
      </c>
      <c r="I134" s="7"/>
      <c r="J134" s="7"/>
      <c r="K134" s="9"/>
      <c r="L134" s="2" t="s">
        <v>20</v>
      </c>
      <c r="M134" s="2" t="s">
        <v>51</v>
      </c>
      <c r="N134" s="2" t="s">
        <v>22</v>
      </c>
      <c r="O134" s="2" t="s">
        <v>23</v>
      </c>
      <c r="P134" s="2" t="s">
        <v>465</v>
      </c>
      <c r="Q134" s="2" t="s">
        <v>470</v>
      </c>
      <c r="R134" s="2"/>
      <c r="S134" s="12">
        <f>IF(OR(F134="",G134=""),0,MAX(0,MIN(1,(サマリ!$B$9-F134+1)/(G134-F134+1))))</f>
        <v>0</v>
      </c>
      <c r="T134" s="12">
        <f t="shared" si="20"/>
        <v>0</v>
      </c>
      <c r="U134" s="9">
        <f t="shared" si="21"/>
        <v>0</v>
      </c>
      <c r="V134" s="9">
        <f t="shared" si="22"/>
        <v>0</v>
      </c>
      <c r="W134" s="15" t="str">
        <f t="shared" si="23"/>
        <v/>
      </c>
      <c r="X134" s="2" t="str">
        <f t="shared" si="24"/>
        <v>未計測</v>
      </c>
    </row>
    <row r="135" spans="1:24" x14ac:dyDescent="0.4">
      <c r="A135" s="2" t="s">
        <v>472</v>
      </c>
      <c r="B135" s="2" t="s">
        <v>449</v>
      </c>
      <c r="C135" s="2" t="s">
        <v>469</v>
      </c>
      <c r="D135" s="2" t="s">
        <v>470</v>
      </c>
      <c r="E135" s="2" t="s">
        <v>473</v>
      </c>
      <c r="F135" s="7">
        <v>46244</v>
      </c>
      <c r="G135" s="7">
        <v>46244</v>
      </c>
      <c r="H135" s="9">
        <v>1</v>
      </c>
      <c r="I135" s="7"/>
      <c r="J135" s="7"/>
      <c r="K135" s="9"/>
      <c r="L135" s="2" t="s">
        <v>20</v>
      </c>
      <c r="M135" s="2" t="s">
        <v>51</v>
      </c>
      <c r="N135" s="2" t="s">
        <v>22</v>
      </c>
      <c r="O135" s="2" t="s">
        <v>23</v>
      </c>
      <c r="P135" s="2" t="s">
        <v>468</v>
      </c>
      <c r="Q135" s="2" t="s">
        <v>474</v>
      </c>
      <c r="R135" s="2"/>
      <c r="S135" s="12">
        <f>IF(OR(F135="",G135=""),0,MAX(0,MIN(1,(サマリ!$B$9-F135+1)/(G135-F135+1))))</f>
        <v>0</v>
      </c>
      <c r="T135" s="12">
        <f t="shared" si="20"/>
        <v>0</v>
      </c>
      <c r="U135" s="9">
        <f t="shared" si="21"/>
        <v>0</v>
      </c>
      <c r="V135" s="9">
        <f t="shared" si="22"/>
        <v>0</v>
      </c>
      <c r="W135" s="15" t="str">
        <f t="shared" si="23"/>
        <v/>
      </c>
      <c r="X135" s="2" t="str">
        <f t="shared" si="24"/>
        <v>未計測</v>
      </c>
    </row>
    <row r="136" spans="1:24" x14ac:dyDescent="0.4">
      <c r="A136" s="2" t="s">
        <v>475</v>
      </c>
      <c r="B136" s="2" t="s">
        <v>449</v>
      </c>
      <c r="C136" s="2" t="s">
        <v>476</v>
      </c>
      <c r="D136" s="2" t="s">
        <v>476</v>
      </c>
      <c r="E136" s="2" t="s">
        <v>477</v>
      </c>
      <c r="F136" s="7">
        <v>46244</v>
      </c>
      <c r="G136" s="7">
        <v>46244</v>
      </c>
      <c r="H136" s="9">
        <v>0.5</v>
      </c>
      <c r="I136" s="7"/>
      <c r="J136" s="7"/>
      <c r="K136" s="9"/>
      <c r="L136" s="2" t="s">
        <v>20</v>
      </c>
      <c r="M136" s="2" t="s">
        <v>30</v>
      </c>
      <c r="N136" s="2" t="s">
        <v>22</v>
      </c>
      <c r="O136" s="2" t="s">
        <v>23</v>
      </c>
      <c r="P136" s="2" t="s">
        <v>472</v>
      </c>
      <c r="Q136" s="2" t="s">
        <v>478</v>
      </c>
      <c r="R136" s="2"/>
      <c r="S136" s="12">
        <f>IF(OR(F136="",G136=""),0,MAX(0,MIN(1,(サマリ!$B$9-F136+1)/(G136-F136+1))))</f>
        <v>0</v>
      </c>
      <c r="T136" s="12">
        <f t="shared" si="20"/>
        <v>0</v>
      </c>
      <c r="U136" s="9">
        <f t="shared" si="21"/>
        <v>0</v>
      </c>
      <c r="V136" s="9">
        <f t="shared" si="22"/>
        <v>0</v>
      </c>
      <c r="W136" s="15" t="str">
        <f t="shared" si="23"/>
        <v/>
      </c>
      <c r="X136" s="2" t="str">
        <f t="shared" si="24"/>
        <v>未計測</v>
      </c>
    </row>
    <row r="137" spans="1:24" x14ac:dyDescent="0.4">
      <c r="A137" s="2" t="s">
        <v>479</v>
      </c>
      <c r="B137" s="2" t="s">
        <v>449</v>
      </c>
      <c r="C137" s="2" t="s">
        <v>476</v>
      </c>
      <c r="D137" s="2" t="s">
        <v>476</v>
      </c>
      <c r="E137" s="2" t="s">
        <v>480</v>
      </c>
      <c r="F137" s="7">
        <v>46244</v>
      </c>
      <c r="G137" s="7">
        <v>46244</v>
      </c>
      <c r="H137" s="9">
        <v>0.5</v>
      </c>
      <c r="I137" s="7"/>
      <c r="J137" s="7"/>
      <c r="K137" s="9"/>
      <c r="L137" s="2" t="s">
        <v>20</v>
      </c>
      <c r="M137" s="2" t="s">
        <v>30</v>
      </c>
      <c r="N137" s="2" t="s">
        <v>22</v>
      </c>
      <c r="O137" s="2" t="s">
        <v>23</v>
      </c>
      <c r="P137" s="2" t="s">
        <v>475</v>
      </c>
      <c r="Q137" s="2" t="s">
        <v>476</v>
      </c>
      <c r="R137" s="2"/>
      <c r="S137" s="12">
        <f>IF(OR(F137="",G137=""),0,MAX(0,MIN(1,(サマリ!$B$9-F137+1)/(G137-F137+1))))</f>
        <v>0</v>
      </c>
      <c r="T137" s="12">
        <f t="shared" si="20"/>
        <v>0</v>
      </c>
      <c r="U137" s="9">
        <f t="shared" si="21"/>
        <v>0</v>
      </c>
      <c r="V137" s="9">
        <f t="shared" si="22"/>
        <v>0</v>
      </c>
      <c r="W137" s="15" t="str">
        <f t="shared" si="23"/>
        <v/>
      </c>
      <c r="X137" s="2" t="str">
        <f t="shared" si="24"/>
        <v>未計測</v>
      </c>
    </row>
    <row r="138" spans="1:24" x14ac:dyDescent="0.4">
      <c r="A138" s="2" t="s">
        <v>481</v>
      </c>
      <c r="B138" s="2" t="s">
        <v>482</v>
      </c>
      <c r="C138" s="2" t="s">
        <v>483</v>
      </c>
      <c r="D138" s="2" t="s">
        <v>484</v>
      </c>
      <c r="E138" s="2" t="s">
        <v>485</v>
      </c>
      <c r="F138" s="7">
        <v>46217</v>
      </c>
      <c r="G138" s="7">
        <v>46244</v>
      </c>
      <c r="H138" s="9">
        <v>8</v>
      </c>
      <c r="I138" s="7"/>
      <c r="J138" s="7"/>
      <c r="K138" s="9"/>
      <c r="L138" s="2" t="s">
        <v>20</v>
      </c>
      <c r="M138" s="2" t="s">
        <v>486</v>
      </c>
      <c r="N138" s="2" t="s">
        <v>22</v>
      </c>
      <c r="O138" s="2" t="s">
        <v>45</v>
      </c>
      <c r="P138" s="2" t="s">
        <v>24</v>
      </c>
      <c r="Q138" s="2" t="s">
        <v>484</v>
      </c>
      <c r="R138" s="2"/>
      <c r="S138" s="12">
        <f>IF(OR(F138="",G138=""),0,MAX(0,MIN(1,(サマリ!$B$9-F138+1)/(G138-F138+1))))</f>
        <v>3.5714285714285712E-2</v>
      </c>
      <c r="T138" s="12">
        <f t="shared" si="20"/>
        <v>0</v>
      </c>
      <c r="U138" s="9">
        <f t="shared" si="21"/>
        <v>0.2857142857142857</v>
      </c>
      <c r="V138" s="9">
        <f t="shared" si="22"/>
        <v>0</v>
      </c>
      <c r="W138" s="15">
        <f t="shared" si="23"/>
        <v>0</v>
      </c>
      <c r="X138" s="2" t="str">
        <f t="shared" si="24"/>
        <v>遅延</v>
      </c>
    </row>
  </sheetData>
  <autoFilter ref="A1:X138" xr:uid="{EC6A4294-4F6A-4A36-8DEE-8C7C0D78296A}"/>
  <phoneticPr fontId="1"/>
  <dataValidations count="2">
    <dataValidation type="list" allowBlank="1" showInputMessage="1" showErrorMessage="1" sqref="N2:N138" xr:uid="{D809A68D-EB92-4757-ACDF-6D8B3A88ED93}">
      <formula1>"未着手,進行中,完了,保留"</formula1>
    </dataValidation>
    <dataValidation type="list" allowBlank="1" showInputMessage="1" showErrorMessage="1" sqref="O2:O138" xr:uid="{4AB5EC5D-7A13-40D7-ACAE-AB0CABA8D583}">
      <formula1>"高,中,低"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D819-D4C0-4A57-AE77-5A6312A37AD5}">
  <dimension ref="A1:E8"/>
  <sheetViews>
    <sheetView workbookViewId="0"/>
  </sheetViews>
  <sheetFormatPr defaultRowHeight="18.75" x14ac:dyDescent="0.4"/>
  <cols>
    <col min="1" max="1" width="8.625" bestFit="1" customWidth="1"/>
    <col min="2" max="2" width="9.875" bestFit="1" customWidth="1"/>
    <col min="3" max="4" width="8.625" bestFit="1" customWidth="1"/>
    <col min="5" max="5" width="10.25" bestFit="1" customWidth="1"/>
  </cols>
  <sheetData>
    <row r="1" spans="1:5" x14ac:dyDescent="0.4">
      <c r="A1" s="4" t="s">
        <v>487</v>
      </c>
      <c r="B1" s="4" t="s">
        <v>488</v>
      </c>
      <c r="C1" s="4" t="s">
        <v>489</v>
      </c>
      <c r="D1" s="4" t="s">
        <v>490</v>
      </c>
      <c r="E1" s="4" t="s">
        <v>491</v>
      </c>
    </row>
    <row r="2" spans="1:5" ht="71.25" x14ac:dyDescent="0.4">
      <c r="A2" s="2" t="s">
        <v>389</v>
      </c>
      <c r="B2" s="2" t="s">
        <v>492</v>
      </c>
      <c r="C2" s="2" t="s">
        <v>20</v>
      </c>
      <c r="D2" s="2" t="s">
        <v>392</v>
      </c>
      <c r="E2" s="2" t="s">
        <v>493</v>
      </c>
    </row>
    <row r="3" spans="1:5" ht="42.75" x14ac:dyDescent="0.4">
      <c r="A3" s="2" t="s">
        <v>389</v>
      </c>
      <c r="B3" s="2" t="s">
        <v>494</v>
      </c>
      <c r="C3" s="2" t="s">
        <v>20</v>
      </c>
      <c r="D3" s="2" t="s">
        <v>71</v>
      </c>
      <c r="E3" s="2" t="s">
        <v>495</v>
      </c>
    </row>
    <row r="4" spans="1:5" ht="42.75" x14ac:dyDescent="0.4">
      <c r="A4" s="2" t="s">
        <v>411</v>
      </c>
      <c r="B4" s="2" t="s">
        <v>496</v>
      </c>
      <c r="C4" s="2" t="s">
        <v>20</v>
      </c>
      <c r="D4" s="2" t="s">
        <v>58</v>
      </c>
      <c r="E4" s="2" t="s">
        <v>497</v>
      </c>
    </row>
    <row r="5" spans="1:5" ht="57" x14ac:dyDescent="0.4">
      <c r="A5" s="2" t="s">
        <v>411</v>
      </c>
      <c r="B5" s="2" t="s">
        <v>498</v>
      </c>
      <c r="C5" s="2" t="s">
        <v>20</v>
      </c>
      <c r="D5" s="2" t="s">
        <v>51</v>
      </c>
      <c r="E5" s="2" t="s">
        <v>499</v>
      </c>
    </row>
    <row r="6" spans="1:5" ht="57" x14ac:dyDescent="0.4">
      <c r="A6" s="2" t="s">
        <v>424</v>
      </c>
      <c r="B6" s="2" t="s">
        <v>500</v>
      </c>
      <c r="C6" s="2" t="s">
        <v>20</v>
      </c>
      <c r="D6" s="2" t="s">
        <v>51</v>
      </c>
      <c r="E6" s="2" t="s">
        <v>501</v>
      </c>
    </row>
    <row r="7" spans="1:5" ht="42.75" x14ac:dyDescent="0.4">
      <c r="A7" s="2" t="s">
        <v>424</v>
      </c>
      <c r="B7" s="2" t="s">
        <v>502</v>
      </c>
      <c r="C7" s="2" t="s">
        <v>20</v>
      </c>
      <c r="D7" s="2" t="s">
        <v>128</v>
      </c>
      <c r="E7" s="2" t="s">
        <v>503</v>
      </c>
    </row>
    <row r="8" spans="1:5" ht="57" x14ac:dyDescent="0.4">
      <c r="A8" s="2" t="s">
        <v>424</v>
      </c>
      <c r="B8" s="2" t="s">
        <v>504</v>
      </c>
      <c r="C8" s="2" t="s">
        <v>20</v>
      </c>
      <c r="D8" s="2" t="s">
        <v>436</v>
      </c>
      <c r="E8" s="2" t="s">
        <v>505</v>
      </c>
    </row>
  </sheetData>
  <autoFilter ref="A1:E8" xr:uid="{BDF0D819-D4C0-4A57-AE77-5A6312A37AD5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D0EE-47DC-4257-8530-66AC2CE3A68D}">
  <dimension ref="A1:D8"/>
  <sheetViews>
    <sheetView workbookViewId="0"/>
  </sheetViews>
  <sheetFormatPr defaultRowHeight="18.75" x14ac:dyDescent="0.4"/>
  <cols>
    <col min="1" max="1" width="10" bestFit="1" customWidth="1"/>
    <col min="2" max="2" width="9.125" bestFit="1" customWidth="1"/>
    <col min="3" max="3" width="10.25" bestFit="1" customWidth="1"/>
    <col min="4" max="4" width="10.125" bestFit="1" customWidth="1"/>
  </cols>
  <sheetData>
    <row r="1" spans="1:4" ht="28.5" x14ac:dyDescent="0.4">
      <c r="A1" s="4" t="s">
        <v>556</v>
      </c>
      <c r="B1" s="4" t="s">
        <v>557</v>
      </c>
      <c r="C1" s="4" t="s">
        <v>558</v>
      </c>
      <c r="D1" s="4" t="s">
        <v>559</v>
      </c>
    </row>
    <row r="2" spans="1:4" ht="57" x14ac:dyDescent="0.4">
      <c r="A2" s="3">
        <v>46222</v>
      </c>
      <c r="B2" s="2" t="s">
        <v>560</v>
      </c>
      <c r="C2" s="2" t="s">
        <v>561</v>
      </c>
      <c r="D2" s="2" t="s">
        <v>562</v>
      </c>
    </row>
    <row r="3" spans="1:4" ht="71.25" x14ac:dyDescent="0.4">
      <c r="A3" s="3">
        <v>46226</v>
      </c>
      <c r="B3" s="2" t="s">
        <v>563</v>
      </c>
      <c r="C3" s="2" t="s">
        <v>564</v>
      </c>
      <c r="D3" s="2" t="s">
        <v>51</v>
      </c>
    </row>
    <row r="4" spans="1:4" ht="71.25" x14ac:dyDescent="0.4">
      <c r="A4" s="3">
        <v>46236</v>
      </c>
      <c r="B4" s="2" t="s">
        <v>565</v>
      </c>
      <c r="C4" s="2" t="s">
        <v>566</v>
      </c>
      <c r="D4" s="2" t="s">
        <v>58</v>
      </c>
    </row>
    <row r="5" spans="1:4" ht="57" x14ac:dyDescent="0.4">
      <c r="A5" s="3">
        <v>46240</v>
      </c>
      <c r="B5" s="2" t="s">
        <v>567</v>
      </c>
      <c r="C5" s="2" t="s">
        <v>568</v>
      </c>
      <c r="D5" s="2" t="s">
        <v>113</v>
      </c>
    </row>
    <row r="6" spans="1:4" ht="57" x14ac:dyDescent="0.4">
      <c r="A6" s="3">
        <v>46242</v>
      </c>
      <c r="B6" s="2" t="s">
        <v>569</v>
      </c>
      <c r="C6" s="2" t="s">
        <v>570</v>
      </c>
      <c r="D6" s="2" t="s">
        <v>571</v>
      </c>
    </row>
    <row r="7" spans="1:4" ht="57" x14ac:dyDescent="0.4">
      <c r="A7" s="3">
        <v>46243</v>
      </c>
      <c r="B7" s="2" t="s">
        <v>572</v>
      </c>
      <c r="C7" s="2" t="s">
        <v>573</v>
      </c>
      <c r="D7" s="2" t="s">
        <v>89</v>
      </c>
    </row>
    <row r="8" spans="1:4" ht="57" x14ac:dyDescent="0.4">
      <c r="A8" s="3">
        <v>46244</v>
      </c>
      <c r="B8" s="2" t="s">
        <v>574</v>
      </c>
      <c r="C8" s="2" t="s">
        <v>575</v>
      </c>
      <c r="D8" s="2" t="s">
        <v>30</v>
      </c>
    </row>
  </sheetData>
  <autoFilter ref="A1:D8" xr:uid="{5C9FD0EE-47DC-4257-8530-66AC2CE3A68D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6589-1C9F-412B-B02A-754045775AA5}">
  <dimension ref="A1:C9"/>
  <sheetViews>
    <sheetView workbookViewId="0"/>
  </sheetViews>
  <sheetFormatPr defaultRowHeight="18.75" x14ac:dyDescent="0.4"/>
  <cols>
    <col min="1" max="1" width="9.125" bestFit="1" customWidth="1"/>
    <col min="2" max="2" width="8.875" bestFit="1" customWidth="1"/>
    <col min="3" max="3" width="11" bestFit="1" customWidth="1"/>
  </cols>
  <sheetData>
    <row r="1" spans="1:3" ht="28.5" x14ac:dyDescent="0.4">
      <c r="A1" s="4" t="s">
        <v>533</v>
      </c>
      <c r="B1" s="4" t="s">
        <v>534</v>
      </c>
      <c r="C1" s="4" t="s">
        <v>535</v>
      </c>
    </row>
    <row r="2" spans="1:3" ht="57" x14ac:dyDescent="0.4">
      <c r="A2" s="2" t="s">
        <v>536</v>
      </c>
      <c r="B2" s="2" t="s">
        <v>537</v>
      </c>
      <c r="C2" s="2" t="s">
        <v>538</v>
      </c>
    </row>
    <row r="3" spans="1:3" ht="71.25" x14ac:dyDescent="0.4">
      <c r="A3" s="2" t="s">
        <v>58</v>
      </c>
      <c r="B3" s="2" t="s">
        <v>539</v>
      </c>
      <c r="C3" s="2" t="s">
        <v>540</v>
      </c>
    </row>
    <row r="4" spans="1:3" ht="57" x14ac:dyDescent="0.4">
      <c r="A4" s="2" t="s">
        <v>541</v>
      </c>
      <c r="B4" s="2" t="s">
        <v>542</v>
      </c>
      <c r="C4" s="2" t="s">
        <v>543</v>
      </c>
    </row>
    <row r="5" spans="1:3" ht="57" x14ac:dyDescent="0.4">
      <c r="A5" s="2" t="s">
        <v>292</v>
      </c>
      <c r="B5" s="2" t="s">
        <v>544</v>
      </c>
      <c r="C5" s="2" t="s">
        <v>545</v>
      </c>
    </row>
    <row r="6" spans="1:3" ht="57" x14ac:dyDescent="0.4">
      <c r="A6" s="2" t="s">
        <v>297</v>
      </c>
      <c r="B6" s="2" t="s">
        <v>546</v>
      </c>
      <c r="C6" s="2" t="s">
        <v>547</v>
      </c>
    </row>
    <row r="7" spans="1:3" ht="57" x14ac:dyDescent="0.4">
      <c r="A7" s="2" t="s">
        <v>548</v>
      </c>
      <c r="B7" s="2" t="s">
        <v>549</v>
      </c>
      <c r="C7" s="2" t="s">
        <v>550</v>
      </c>
    </row>
    <row r="8" spans="1:3" ht="42.75" x14ac:dyDescent="0.4">
      <c r="A8" s="2" t="s">
        <v>375</v>
      </c>
      <c r="B8" s="2" t="s">
        <v>551</v>
      </c>
      <c r="C8" s="2" t="s">
        <v>552</v>
      </c>
    </row>
    <row r="9" spans="1:3" ht="42.75" x14ac:dyDescent="0.4">
      <c r="A9" s="2" t="s">
        <v>553</v>
      </c>
      <c r="B9" s="2" t="s">
        <v>554</v>
      </c>
      <c r="C9" s="2" t="s">
        <v>555</v>
      </c>
    </row>
  </sheetData>
  <autoFilter ref="A1:C9" xr:uid="{79186589-1C9F-412B-B02A-754045775AA5}"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7A58-D748-46CD-8A61-EFF61ED8F8D6}">
  <dimension ref="A1:E7"/>
  <sheetViews>
    <sheetView workbookViewId="0"/>
  </sheetViews>
  <sheetFormatPr defaultRowHeight="18.75" x14ac:dyDescent="0.4"/>
  <cols>
    <col min="1" max="1" width="6.125" bestFit="1" customWidth="1"/>
    <col min="2" max="2" width="9.375" bestFit="1" customWidth="1"/>
    <col min="3" max="3" width="8.5" bestFit="1" customWidth="1"/>
    <col min="4" max="4" width="9.125" bestFit="1" customWidth="1"/>
    <col min="5" max="5" width="10.625" bestFit="1" customWidth="1"/>
  </cols>
  <sheetData>
    <row r="1" spans="1:5" x14ac:dyDescent="0.4">
      <c r="A1" s="4" t="s">
        <v>506</v>
      </c>
      <c r="B1" s="4" t="s">
        <v>507</v>
      </c>
      <c r="C1" s="4" t="s">
        <v>508</v>
      </c>
      <c r="D1" s="4" t="s">
        <v>509</v>
      </c>
      <c r="E1" s="4" t="s">
        <v>510</v>
      </c>
    </row>
    <row r="2" spans="1:5" ht="42.75" x14ac:dyDescent="0.4">
      <c r="A2" s="2">
        <v>1</v>
      </c>
      <c r="B2" s="2" t="s">
        <v>511</v>
      </c>
      <c r="C2" s="2" t="s">
        <v>512</v>
      </c>
      <c r="D2" s="2" t="s">
        <v>513</v>
      </c>
      <c r="E2" s="2" t="s">
        <v>514</v>
      </c>
    </row>
    <row r="3" spans="1:5" ht="42.75" x14ac:dyDescent="0.4">
      <c r="A3" s="2">
        <v>2</v>
      </c>
      <c r="B3" s="2" t="s">
        <v>515</v>
      </c>
      <c r="C3" s="2" t="s">
        <v>516</v>
      </c>
      <c r="D3" s="2" t="s">
        <v>517</v>
      </c>
      <c r="E3" s="2" t="s">
        <v>518</v>
      </c>
    </row>
    <row r="4" spans="1:5" ht="57" x14ac:dyDescent="0.4">
      <c r="A4" s="2">
        <v>3</v>
      </c>
      <c r="B4" s="2" t="s">
        <v>519</v>
      </c>
      <c r="C4" s="2" t="s">
        <v>520</v>
      </c>
      <c r="D4" s="2" t="s">
        <v>521</v>
      </c>
      <c r="E4" s="2" t="s">
        <v>522</v>
      </c>
    </row>
    <row r="5" spans="1:5" ht="57" x14ac:dyDescent="0.4">
      <c r="A5" s="2">
        <v>4</v>
      </c>
      <c r="B5" s="2" t="s">
        <v>523</v>
      </c>
      <c r="C5" s="2" t="s">
        <v>524</v>
      </c>
      <c r="D5" s="2" t="s">
        <v>525</v>
      </c>
      <c r="E5" s="2" t="s">
        <v>389</v>
      </c>
    </row>
    <row r="6" spans="1:5" ht="42.75" x14ac:dyDescent="0.4">
      <c r="A6" s="2">
        <v>5</v>
      </c>
      <c r="B6" s="2" t="s">
        <v>526</v>
      </c>
      <c r="C6" s="2" t="s">
        <v>527</v>
      </c>
      <c r="D6" s="2" t="s">
        <v>528</v>
      </c>
      <c r="E6" s="2" t="s">
        <v>529</v>
      </c>
    </row>
    <row r="7" spans="1:5" ht="42.75" x14ac:dyDescent="0.4">
      <c r="A7" s="2">
        <v>6</v>
      </c>
      <c r="B7" s="2" t="s">
        <v>530</v>
      </c>
      <c r="C7" s="2" t="s">
        <v>531</v>
      </c>
      <c r="D7" s="2" t="s">
        <v>532</v>
      </c>
      <c r="E7" s="2" t="s">
        <v>389</v>
      </c>
    </row>
  </sheetData>
  <autoFilter ref="A1:E7" xr:uid="{53477A58-D748-46CD-8A61-EFF61ED8F8D6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サマリ</vt:lpstr>
      <vt:lpstr>WBS_L4</vt:lpstr>
      <vt:lpstr>移行準備</vt:lpstr>
      <vt:lpstr>マイルストーン</vt:lpstr>
      <vt:lpstr>体制</vt:lpstr>
      <vt:lpstr>リスク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2026-07-14T01:37:18Z</dcterms:created>
  <dcterms:modified xsi:type="dcterms:W3CDTF">2026-07-14T03:42:31Z</dcterms:modified>
</cp:coreProperties>
</file>